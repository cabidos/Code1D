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erausers\Desktop\PHILAE-1\"/>
    </mc:Choice>
  </mc:AlternateContent>
  <xr:revisionPtr revIDLastSave="0" documentId="13_ncr:1_{5C904119-57E2-4807-9908-DFC26CBBB88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  <sheet name="Cal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7" i="1" l="1"/>
  <c r="O48" i="1"/>
  <c r="O49" i="1"/>
  <c r="O50" i="1"/>
  <c r="M50" i="1"/>
  <c r="K51" i="1"/>
  <c r="M51" i="1" s="1"/>
  <c r="O51" i="1" s="1"/>
  <c r="L50" i="1"/>
  <c r="K47" i="1"/>
  <c r="K49" i="1"/>
  <c r="L48" i="1"/>
  <c r="K48" i="1"/>
  <c r="D13" i="2"/>
  <c r="H13" i="2" s="1"/>
  <c r="C13" i="2"/>
  <c r="G13" i="2" s="1"/>
  <c r="C12" i="2"/>
  <c r="M48" i="1" l="1"/>
  <c r="M49" i="1"/>
  <c r="M47" i="1"/>
  <c r="K46" i="1"/>
  <c r="L45" i="1"/>
  <c r="K45" i="1"/>
  <c r="K44" i="1"/>
  <c r="M44" i="1" s="1"/>
  <c r="O44" i="1" s="1"/>
  <c r="K43" i="1"/>
  <c r="M43" i="1" s="1"/>
  <c r="O43" i="1" s="1"/>
  <c r="L42" i="1"/>
  <c r="M42" i="1" s="1"/>
  <c r="O42" i="1" s="1"/>
  <c r="K41" i="1"/>
  <c r="M41" i="1" s="1"/>
  <c r="O41" i="1" s="1"/>
  <c r="K21" i="1"/>
  <c r="K20" i="1"/>
  <c r="K19" i="1"/>
  <c r="K40" i="1"/>
  <c r="M40" i="1" s="1"/>
  <c r="O40" i="1" s="1"/>
  <c r="L39" i="1"/>
  <c r="M39" i="1" s="1"/>
  <c r="O39" i="1" s="1"/>
  <c r="K38" i="1"/>
  <c r="M38" i="1" s="1"/>
  <c r="O38" i="1" s="1"/>
  <c r="K37" i="1"/>
  <c r="L37" i="1"/>
  <c r="L36" i="1"/>
  <c r="K36" i="1"/>
  <c r="K33" i="1"/>
  <c r="L35" i="1"/>
  <c r="M35" i="1" s="1"/>
  <c r="O35" i="1" s="1"/>
  <c r="L34" i="1"/>
  <c r="M34" i="1"/>
  <c r="L33" i="1"/>
  <c r="L32" i="1"/>
  <c r="M32" i="1" s="1"/>
  <c r="O32" i="1" s="1"/>
  <c r="C11" i="2"/>
  <c r="G11" i="2" s="1"/>
  <c r="D11" i="2"/>
  <c r="H11" i="2" s="1"/>
  <c r="G12" i="2"/>
  <c r="H12" i="2"/>
  <c r="M36" i="1" l="1"/>
  <c r="O36" i="1" s="1"/>
  <c r="M46" i="1"/>
  <c r="O46" i="1" s="1"/>
  <c r="M45" i="1"/>
  <c r="O45" i="1" s="1"/>
  <c r="M37" i="1"/>
  <c r="O37" i="1" s="1"/>
  <c r="M33" i="1"/>
  <c r="O33" i="1" s="1"/>
  <c r="O34" i="1"/>
  <c r="K31" i="1"/>
  <c r="L31" i="1"/>
  <c r="L30" i="1"/>
  <c r="K30" i="1"/>
  <c r="K29" i="1"/>
  <c r="L29" i="1"/>
  <c r="K28" i="1"/>
  <c r="L28" i="1"/>
  <c r="K27" i="1"/>
  <c r="L27" i="1"/>
  <c r="L26" i="1"/>
  <c r="K26" i="1"/>
  <c r="L25" i="1"/>
  <c r="K25" i="1"/>
  <c r="D10" i="2"/>
  <c r="H10" i="2" s="1"/>
  <c r="C9" i="2"/>
  <c r="G9" i="2" s="1"/>
  <c r="H9" i="2"/>
  <c r="G10" i="2"/>
  <c r="C8" i="2"/>
  <c r="D8" i="2"/>
  <c r="H8" i="2"/>
  <c r="G8" i="2"/>
  <c r="M31" i="1" l="1"/>
  <c r="O31" i="1" s="1"/>
  <c r="M30" i="1"/>
  <c r="O30" i="1" s="1"/>
  <c r="M29" i="1"/>
  <c r="O29" i="1" s="1"/>
  <c r="M28" i="1"/>
  <c r="O28" i="1" s="1"/>
  <c r="M27" i="1"/>
  <c r="O27" i="1" s="1"/>
  <c r="M25" i="1"/>
  <c r="O25" i="1" s="1"/>
  <c r="M26" i="1"/>
  <c r="O26" i="1" s="1"/>
  <c r="L24" i="1"/>
  <c r="K24" i="1"/>
  <c r="K23" i="1"/>
  <c r="L23" i="1"/>
  <c r="L22" i="1"/>
  <c r="K22" i="1"/>
  <c r="M21" i="1"/>
  <c r="O21" i="1" s="1"/>
  <c r="H7" i="2"/>
  <c r="M19" i="1"/>
  <c r="O19" i="1" s="1"/>
  <c r="M20" i="1"/>
  <c r="O20" i="1" s="1"/>
  <c r="K18" i="1"/>
  <c r="M18" i="1" s="1"/>
  <c r="O18" i="1" s="1"/>
  <c r="L13" i="1"/>
  <c r="K17" i="1"/>
  <c r="M17" i="1" s="1"/>
  <c r="O17" i="1" s="1"/>
  <c r="K16" i="1"/>
  <c r="M16" i="1" s="1"/>
  <c r="O16" i="1" s="1"/>
  <c r="K15" i="1"/>
  <c r="M15" i="1" s="1"/>
  <c r="O15" i="1" s="1"/>
  <c r="K14" i="1"/>
  <c r="M14" i="1" s="1"/>
  <c r="O14" i="1" s="1"/>
  <c r="H6" i="2"/>
  <c r="G6" i="2"/>
  <c r="H5" i="2"/>
  <c r="G5" i="2"/>
  <c r="H4" i="2"/>
  <c r="G4" i="2"/>
  <c r="G3" i="2"/>
  <c r="K13" i="1"/>
  <c r="M24" i="1" l="1"/>
  <c r="O24" i="1" s="1"/>
  <c r="M23" i="1"/>
  <c r="O23" i="1" s="1"/>
  <c r="M22" i="1"/>
  <c r="O22" i="1" s="1"/>
  <c r="M13" i="1"/>
  <c r="O13" i="1" s="1"/>
  <c r="K12" i="1"/>
  <c r="M12" i="1" s="1"/>
  <c r="O12" i="1" s="1"/>
  <c r="H3" i="1" l="1"/>
  <c r="K11" i="1"/>
  <c r="M11" i="1" s="1"/>
  <c r="O11" i="1" s="1"/>
  <c r="H3" i="2"/>
  <c r="K10" i="1"/>
  <c r="K8" i="1"/>
  <c r="M8" i="1" s="1"/>
  <c r="O8" i="1" s="1"/>
  <c r="K9" i="1"/>
  <c r="M9" i="1" s="1"/>
  <c r="O9" i="1" s="1"/>
  <c r="K7" i="1"/>
  <c r="M7" i="1" s="1"/>
  <c r="O7" i="1" s="1"/>
  <c r="K6" i="1"/>
  <c r="M6" i="1" s="1"/>
  <c r="O6" i="1" s="1"/>
  <c r="K5" i="1"/>
  <c r="M5" i="1" s="1"/>
  <c r="O5" i="1" s="1"/>
  <c r="K4" i="1"/>
  <c r="M4" i="1" s="1"/>
  <c r="O4" i="1" s="1"/>
  <c r="H4" i="1"/>
  <c r="K3" i="1"/>
  <c r="M3" i="1" s="1"/>
  <c r="O3" i="1" s="1"/>
  <c r="H2" i="2"/>
  <c r="G2" i="2"/>
  <c r="M10" i="1" l="1"/>
  <c r="O10" i="1" s="1"/>
  <c r="M2" i="1"/>
  <c r="O2" i="1" s="1"/>
</calcChain>
</file>

<file path=xl/sharedStrings.xml><?xml version="1.0" encoding="utf-8"?>
<sst xmlns="http://schemas.openxmlformats.org/spreadsheetml/2006/main" count="231" uniqueCount="82">
  <si>
    <t>Date</t>
  </si>
  <si>
    <t>Heure</t>
  </si>
  <si>
    <t>Numero</t>
  </si>
  <si>
    <t>Materiau</t>
  </si>
  <si>
    <t>Energie A (J)</t>
  </si>
  <si>
    <t>Energie B (J)</t>
  </si>
  <si>
    <t>Duree (ns)</t>
  </si>
  <si>
    <t>Energie totale (J)</t>
  </si>
  <si>
    <t>Epaisseur (mm)</t>
  </si>
  <si>
    <t>Al6061-T6</t>
  </si>
  <si>
    <t>Diametre (mm)</t>
  </si>
  <si>
    <t>I (GW/cm²)</t>
  </si>
  <si>
    <t>-</t>
  </si>
  <si>
    <t>Commentaires</t>
  </si>
  <si>
    <t>VSL max. (m/s)</t>
  </si>
  <si>
    <t>Fact. Franges (m/s)</t>
  </si>
  <si>
    <t xml:space="preserve">1er tir VISAR sur al6061-T6 de 0,2 mm - calibre minicalo trop important - energie approximative </t>
  </si>
  <si>
    <t>DO</t>
  </si>
  <si>
    <t>Calo Voie A</t>
  </si>
  <si>
    <t>Calo Voie B</t>
  </si>
  <si>
    <t>MiniCalo Voie B</t>
  </si>
  <si>
    <t>MiniCalo Voie A (mJ)</t>
  </si>
  <si>
    <t>Coefficient multiplicateur A</t>
  </si>
  <si>
    <t>Coefficient multiplicateur B</t>
  </si>
  <si>
    <t>?</t>
  </si>
  <si>
    <t>1er tir VISAR sur al6061-T6 de 0,2 mm avec environ 10 GW/cm² sur cible - VSL conforme a l attendu</t>
  </si>
  <si>
    <t>Idem precedent - VSL conforme a l attendu</t>
  </si>
  <si>
    <t>Position cible (um)</t>
  </si>
  <si>
    <t>Idem precedent - VSL  conforme a l'attendu mais signal plus bruite que le precedent</t>
  </si>
  <si>
    <t>1er tir VISAR sur al6061-T6 de 0,5 mm avec environ 10 GW/cm² sur cible - VSL un peu au dessus de l attendu (80 m/s)</t>
  </si>
  <si>
    <t>1er tir VISAR sur al6061-T6 de 1,0 mm avec environ 10 GW/cm² sur cible - VSL conforme a l attendu</t>
  </si>
  <si>
    <t>Idem precedent - Resultat VISAR bizarre car vitesse tres faible - probleme sur LASER HERA - a refaire</t>
  </si>
  <si>
    <t>Densites Voie A</t>
  </si>
  <si>
    <t>Densites Voie B</t>
  </si>
  <si>
    <t>Idem precedent - Profil de vitesse tres similaire au precedent sauf pour la valeur max</t>
  </si>
  <si>
    <t>Passage a 0,5 mm d'epaisseur - signal tres propre</t>
  </si>
  <si>
    <t>Idem precedent mais fibre aller du VISAR avec 8 um de cœur vs. 50 um jusque la - pic max insensible au changement de sonde mais effets 2D tres differents ( -45 m/s vs. -15 m/s avec la fibre de 50 um)</t>
  </si>
  <si>
    <t>Passage a 1 mm en 40 J -Profil de vitesse tres pique - coherent de l'apparition des effets 2D simultanement au debouche du choc</t>
  </si>
  <si>
    <t>Attention : cocher attenaution x2 sur calo basse énergie</t>
  </si>
  <si>
    <t>Idem precedent - signal propre - VSL proche du precedent</t>
  </si>
  <si>
    <t>Passage a 0,2 mm  d epaisseur - VSL correcte mais energie trop basse -A refaire</t>
  </si>
  <si>
    <t>Repetition des tirs 1,2 et 3 pour verifier la reproductibilite du resultat avec la fibre de 8 um a cœur - signal tres propre avec une vitesse max encadree par les tirs 1,2 et 3 mais doute sur l energie</t>
  </si>
  <si>
    <t>Idem precedent - VSL plus elevee que precedent - a priori energie conforme a la spec - A refaire</t>
  </si>
  <si>
    <t>Passage a 40 J sur 2 mm d'epaisseur - VSL superieure aux essais basse intensite et pic plus large - mise en evidence de l elastoplasticite</t>
  </si>
  <si>
    <t>Idem precedent - VSL proche du precedent</t>
  </si>
  <si>
    <t>Repetition du tir 12 - VSL proche du tir 12</t>
  </si>
  <si>
    <t>Caméra</t>
  </si>
  <si>
    <t>Non</t>
  </si>
  <si>
    <t>Oui</t>
  </si>
  <si>
    <t>Energie minicalo A (J)</t>
  </si>
  <si>
    <t>Energie minicalo B (J)</t>
  </si>
  <si>
    <t>Passage a 1 mm d epaisseur - Beau signal d ecaillage avec envol a 600 m/s + Visu envol d ecaille a la camera</t>
  </si>
  <si>
    <t>Passage a 0,2 mm  d epaisseur - Envol balistique de l ecaille immediatement apres le pic - Echelon de vitesse a v=vmax</t>
  </si>
  <si>
    <t>Idem precedent - Changement de VISAR car probleme sur bloc PM/Ampli Nucletudes - Incorporation d'un interféromètre + bloc PM/Ampli de HERA sur le montage optique VISAR Nucletudes - Delta de 300 m/s avec le tir precedent - A refaire</t>
  </si>
  <si>
    <t>Idem precedent - Signal de VSL tres proche du precedent</t>
  </si>
  <si>
    <t>Repetition du tir 21 - Vmax proche du tir 21</t>
  </si>
  <si>
    <t xml:space="preserve">Idem precedent - Vmax differente du tir precedent mais en accord avec le tir 21 - probablement lie a l'energie du tir moins importante sur ces deux tirs par rapport au tir precedent </t>
  </si>
  <si>
    <t>Repetition des tirs 22 et 23 - Vmax encadree par ces 2 tirs (1000 m/s) et vitesse d'envol a 800 m/s</t>
  </si>
  <si>
    <t>Passage a 400 J sur 2 mm d epaisseur - Signal de vitesse tres bruite - Pas de signature d endommagement</t>
  </si>
  <si>
    <t>Idem precedent - VSL a un peu basse - p-e en lien avec l energie</t>
  </si>
  <si>
    <t>Passage à 10 J sur du 2 mm d epaisseur - vitesse un peu plus faible que la config equivalente en 2 mm de taille de tache</t>
  </si>
  <si>
    <t>Passage à 0,2 mm d epaisseur et  1 J - vitesse coherente avec les configs avec diametre de 2 mm equivalentes</t>
  </si>
  <si>
    <t>Passage a 10 J - Doute sur le profil temporel mais profil de vitesse physique - A refaire</t>
  </si>
  <si>
    <t>Repetition du tir 32 - Profil de vitesse proche du tir 32</t>
  </si>
  <si>
    <t>Repetition du tir 31 - Profil de vitesse tres proche du tir 31</t>
  </si>
  <si>
    <t>Passage a 1 mm de taille de tache avec 1 J sur du 2 mm d epaisseur - 45 m/s vs. 60 a la meme intensite en 2mm de diametre de tache - effets 2D predominants - Doute sur le profil de vitesse - A refaire</t>
  </si>
  <si>
    <t>Repetition du tir 30 - Profil de vitesse plus physique que le tir 30 - A refaire</t>
  </si>
  <si>
    <t>Passage en 0,2 mm - Profil de vitesse plus faible que les tirs 17,18,19 - A refaire</t>
  </si>
  <si>
    <t>Passage en 0,2 mm - Profil de vitesse plus coherent avec 17,18,19</t>
  </si>
  <si>
    <t>Repetition du tir 34 - Profil de vitesse tres proche du tir 34</t>
  </si>
  <si>
    <t>Repetition du tir 33 - Profil de vitesse tres proche du tir 33</t>
  </si>
  <si>
    <t>Passage a 1 mm d epaisseur - Profil de vitesse physique - A refaire</t>
  </si>
  <si>
    <t>1er tir VISAR sur al6061-T6 de 2,0 mm avec environ 10 GW/cm² sur cible - VSL plus faible qu attendu</t>
  </si>
  <si>
    <t>Passage à 100 J - Signal tres bruite - A refaire avec un facteur de franges plus faible</t>
  </si>
  <si>
    <t>Passage a 1 mm - Depouillement manuel necessaire - A refaire</t>
  </si>
  <si>
    <t>Idem precedent - Depouillement auto ok - Signal de VSL tres proche du tir precedent</t>
  </si>
  <si>
    <t>Repetition tir 42</t>
  </si>
  <si>
    <t>Repetition tir 34</t>
  </si>
  <si>
    <t>Repetition tir 43</t>
  </si>
  <si>
    <t>Repetition tir 38</t>
  </si>
  <si>
    <t>Ti</t>
  </si>
  <si>
    <t>Passage sur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</si>
</sst>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4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1" xfId="0" applyNumberFormat="1" applyBorder="1"/>
    <xf numFmtId="20" fontId="0" fillId="0" borderId="2" xfId="0" applyNumberForma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20" fontId="0" fillId="0" borderId="5" xfId="0" applyNumberFormat="1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20" fontId="0" fillId="0" borderId="0" xfId="0" applyNumberFormat="1" applyBorder="1"/>
    <xf numFmtId="0" fontId="0" fillId="0" borderId="0" xfId="0" applyBorder="1"/>
    <xf numFmtId="0" fontId="0" fillId="0" borderId="8" xfId="0" applyBorder="1"/>
    <xf numFmtId="0" fontId="0" fillId="0" borderId="5" xfId="0" applyFill="1" applyBorder="1"/>
    <xf numFmtId="0" fontId="2" fillId="0" borderId="2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2" xfId="0" applyFont="1" applyFill="1" applyBorder="1"/>
    <xf numFmtId="0" fontId="2" fillId="0" borderId="0" xfId="0" applyFont="1" applyFill="1" applyBorder="1"/>
    <xf numFmtId="0" fontId="2" fillId="0" borderId="5" xfId="0" applyFont="1" applyFill="1" applyBorder="1"/>
    <xf numFmtId="0" fontId="0" fillId="0" borderId="0" xfId="0" applyFill="1" applyBorder="1"/>
    <xf numFmtId="0" fontId="0" fillId="0" borderId="8" xfId="0" applyFill="1" applyBorder="1"/>
    <xf numFmtId="14" fontId="0" fillId="0" borderId="0" xfId="0" applyNumberFormat="1" applyFill="1"/>
    <xf numFmtId="20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14" fontId="0" fillId="0" borderId="9" xfId="0" applyNumberFormat="1" applyFill="1" applyBorder="1"/>
    <xf numFmtId="20" fontId="0" fillId="0" borderId="10" xfId="0" applyNumberFormat="1" applyFill="1" applyBorder="1"/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0" fontId="0" fillId="3" borderId="11" xfId="0" applyFill="1" applyBorder="1"/>
    <xf numFmtId="14" fontId="0" fillId="0" borderId="1" xfId="0" applyNumberFormat="1" applyFill="1" applyBorder="1"/>
    <xf numFmtId="20" fontId="0" fillId="0" borderId="2" xfId="0" applyNumberFormat="1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4" borderId="3" xfId="0" applyFill="1" applyBorder="1"/>
    <xf numFmtId="14" fontId="0" fillId="0" borderId="7" xfId="0" applyNumberFormat="1" applyFill="1" applyBorder="1"/>
    <xf numFmtId="20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4" borderId="8" xfId="0" applyFill="1" applyBorder="1"/>
    <xf numFmtId="0" fontId="0" fillId="3" borderId="8" xfId="0" applyFill="1" applyBorder="1"/>
    <xf numFmtId="14" fontId="0" fillId="0" borderId="4" xfId="0" applyNumberFormat="1" applyFill="1" applyBorder="1"/>
    <xf numFmtId="20" fontId="0" fillId="0" borderId="5" xfId="0" applyNumberFormat="1" applyFill="1" applyBorder="1"/>
    <xf numFmtId="0" fontId="0" fillId="0" borderId="5" xfId="0" applyFill="1" applyBorder="1" applyAlignment="1">
      <alignment horizontal="center"/>
    </xf>
    <xf numFmtId="0" fontId="0" fillId="5" borderId="6" xfId="0" applyFill="1" applyBorder="1"/>
    <xf numFmtId="0" fontId="0" fillId="4" borderId="6" xfId="0" applyFill="1" applyBorder="1"/>
    <xf numFmtId="0" fontId="0" fillId="5" borderId="3" xfId="0" applyFill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pane ySplit="1" topLeftCell="A26" activePane="bottomLeft" state="frozen"/>
      <selection pane="bottomLeft" activeCell="P50" sqref="P50"/>
    </sheetView>
  </sheetViews>
  <sheetFormatPr baseColWidth="10" defaultColWidth="9.140625" defaultRowHeight="15" x14ac:dyDescent="0.25"/>
  <cols>
    <col min="1" max="1" width="10.7109375" bestFit="1" customWidth="1"/>
    <col min="2" max="2" width="6.42578125" bestFit="1" customWidth="1"/>
    <col min="3" max="3" width="8.28515625" bestFit="1" customWidth="1"/>
    <col min="4" max="4" width="14.5703125" bestFit="1" customWidth="1"/>
    <col min="5" max="5" width="9.5703125" bestFit="1" customWidth="1"/>
    <col min="6" max="6" width="14.7109375" bestFit="1" customWidth="1"/>
    <col min="7" max="7" width="17.85546875" bestFit="1" customWidth="1"/>
    <col min="8" max="8" width="5" bestFit="1" customWidth="1"/>
    <col min="9" max="9" width="20.140625" bestFit="1" customWidth="1"/>
    <col min="10" max="10" width="20" bestFit="1" customWidth="1"/>
    <col min="11" max="11" width="12" bestFit="1" customWidth="1"/>
    <col min="12" max="12" width="11.85546875" bestFit="1" customWidth="1"/>
    <col min="13" max="13" width="16.140625" bestFit="1" customWidth="1"/>
    <col min="14" max="14" width="10.28515625" bestFit="1" customWidth="1"/>
    <col min="15" max="15" width="12" bestFit="1" customWidth="1"/>
    <col min="16" max="16" width="14.140625" bestFit="1" customWidth="1"/>
    <col min="17" max="17" width="17.85546875" bestFit="1" customWidth="1"/>
    <col min="18" max="18" width="17.85546875" customWidth="1"/>
    <col min="19" max="19" width="211.5703125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10</v>
      </c>
      <c r="E1" s="4" t="s">
        <v>3</v>
      </c>
      <c r="F1" s="4" t="s">
        <v>8</v>
      </c>
      <c r="G1" s="4" t="s">
        <v>27</v>
      </c>
      <c r="H1" s="4" t="s">
        <v>17</v>
      </c>
      <c r="I1" s="4" t="s">
        <v>49</v>
      </c>
      <c r="J1" s="4" t="s">
        <v>50</v>
      </c>
      <c r="K1" s="4" t="s">
        <v>4</v>
      </c>
      <c r="L1" s="4" t="s">
        <v>5</v>
      </c>
      <c r="M1" s="4" t="s">
        <v>7</v>
      </c>
      <c r="N1" s="4" t="s">
        <v>6</v>
      </c>
      <c r="O1" s="4" t="s">
        <v>11</v>
      </c>
      <c r="P1" s="4" t="s">
        <v>14</v>
      </c>
      <c r="Q1" s="4" t="s">
        <v>15</v>
      </c>
      <c r="R1" s="4" t="s">
        <v>46</v>
      </c>
      <c r="S1" s="4" t="s">
        <v>13</v>
      </c>
    </row>
    <row r="2" spans="1:19" x14ac:dyDescent="0.25">
      <c r="A2" s="35">
        <v>46038</v>
      </c>
      <c r="B2" s="36">
        <v>0.6875</v>
      </c>
      <c r="C2" s="37">
        <v>0</v>
      </c>
      <c r="D2" s="37">
        <v>2</v>
      </c>
      <c r="E2" s="37" t="s">
        <v>9</v>
      </c>
      <c r="F2" s="37">
        <v>0.2</v>
      </c>
      <c r="G2" s="37" t="s">
        <v>24</v>
      </c>
      <c r="H2" s="37" t="s">
        <v>24</v>
      </c>
      <c r="I2" s="38" t="s">
        <v>12</v>
      </c>
      <c r="J2" s="38" t="s">
        <v>12</v>
      </c>
      <c r="K2" s="37">
        <v>3</v>
      </c>
      <c r="L2" s="37">
        <v>0</v>
      </c>
      <c r="M2" s="37">
        <f>K2+L2</f>
        <v>3</v>
      </c>
      <c r="N2" s="37">
        <v>15</v>
      </c>
      <c r="O2" s="37">
        <f>M2/((D2*10^(-1)/2)*(D2*10^(-1)/2)*PI()*N2)</f>
        <v>6.3661977236758132</v>
      </c>
      <c r="P2" s="38">
        <v>120</v>
      </c>
      <c r="Q2" s="38">
        <v>328.9</v>
      </c>
      <c r="R2" s="38" t="s">
        <v>47</v>
      </c>
      <c r="S2" s="39" t="s">
        <v>16</v>
      </c>
    </row>
    <row r="3" spans="1:19" x14ac:dyDescent="0.25">
      <c r="A3" s="40">
        <v>46041</v>
      </c>
      <c r="B3" s="41">
        <v>0.47361111111111115</v>
      </c>
      <c r="C3" s="42">
        <v>1</v>
      </c>
      <c r="D3" s="42">
        <v>2</v>
      </c>
      <c r="E3" s="42" t="s">
        <v>9</v>
      </c>
      <c r="F3" s="42">
        <v>0.2</v>
      </c>
      <c r="G3" s="42">
        <v>94</v>
      </c>
      <c r="H3" s="42">
        <f>1.33+0.34</f>
        <v>1.6700000000000002</v>
      </c>
      <c r="I3" s="42">
        <v>8.9999999999999993E-3</v>
      </c>
      <c r="J3" s="42"/>
      <c r="K3" s="42">
        <f>Calo!G2*I3</f>
        <v>3.8571428571428568</v>
      </c>
      <c r="L3" s="42"/>
      <c r="M3" s="42">
        <f t="shared" ref="M3:M12" si="0">K3+L3</f>
        <v>3.8571428571428568</v>
      </c>
      <c r="N3" s="42">
        <v>15</v>
      </c>
      <c r="O3" s="42">
        <f t="shared" ref="O3:O16" si="1">M3/((D3*10^(-1)/2)*(D3*10^(-1)/2)*PI()*N3)</f>
        <v>8.1851113590117581</v>
      </c>
      <c r="P3" s="42">
        <v>90</v>
      </c>
      <c r="Q3" s="43">
        <v>328.9</v>
      </c>
      <c r="R3" s="43" t="s">
        <v>47</v>
      </c>
      <c r="S3" s="44" t="s">
        <v>25</v>
      </c>
    </row>
    <row r="4" spans="1:19" x14ac:dyDescent="0.25">
      <c r="A4" s="45">
        <v>46041</v>
      </c>
      <c r="B4" s="46">
        <v>0.49513888888888885</v>
      </c>
      <c r="C4" s="27">
        <v>2</v>
      </c>
      <c r="D4" s="27">
        <v>2</v>
      </c>
      <c r="E4" s="27" t="s">
        <v>9</v>
      </c>
      <c r="F4" s="27">
        <v>0.2</v>
      </c>
      <c r="G4" s="27">
        <v>94</v>
      </c>
      <c r="H4" s="27">
        <f>1.33+0.34</f>
        <v>1.6700000000000002</v>
      </c>
      <c r="I4" s="27">
        <v>9.6500000000000006E-3</v>
      </c>
      <c r="J4" s="27"/>
      <c r="K4" s="27">
        <f>Calo!G$2*I4</f>
        <v>4.1357142857142861</v>
      </c>
      <c r="L4" s="27"/>
      <c r="M4" s="27">
        <f t="shared" si="0"/>
        <v>4.1357142857142861</v>
      </c>
      <c r="N4" s="27">
        <v>15</v>
      </c>
      <c r="O4" s="27">
        <f t="shared" si="1"/>
        <v>8.7762582904959423</v>
      </c>
      <c r="P4" s="27">
        <v>110</v>
      </c>
      <c r="Q4" s="47">
        <v>328.9</v>
      </c>
      <c r="R4" s="47" t="s">
        <v>47</v>
      </c>
      <c r="S4" s="48" t="s">
        <v>26</v>
      </c>
    </row>
    <row r="5" spans="1:19" x14ac:dyDescent="0.25">
      <c r="A5" s="45">
        <v>46041</v>
      </c>
      <c r="B5" s="46">
        <v>0.5131944444444444</v>
      </c>
      <c r="C5" s="27">
        <v>3</v>
      </c>
      <c r="D5" s="27">
        <v>2</v>
      </c>
      <c r="E5" s="27" t="s">
        <v>9</v>
      </c>
      <c r="F5" s="27">
        <v>0.2</v>
      </c>
      <c r="G5" s="27">
        <v>94</v>
      </c>
      <c r="H5" s="27">
        <v>1.67</v>
      </c>
      <c r="I5" s="27">
        <v>9.58E-3</v>
      </c>
      <c r="J5" s="27"/>
      <c r="K5" s="27">
        <f>Calo!G$2*I5</f>
        <v>4.1057142857142859</v>
      </c>
      <c r="L5" s="27"/>
      <c r="M5" s="27">
        <f t="shared" si="0"/>
        <v>4.1057142857142859</v>
      </c>
      <c r="N5" s="27">
        <v>15</v>
      </c>
      <c r="O5" s="27">
        <f t="shared" si="1"/>
        <v>8.7125963132591835</v>
      </c>
      <c r="P5" s="27">
        <v>90</v>
      </c>
      <c r="Q5" s="47">
        <v>328.9</v>
      </c>
      <c r="R5" s="47" t="s">
        <v>47</v>
      </c>
      <c r="S5" s="48" t="s">
        <v>26</v>
      </c>
    </row>
    <row r="6" spans="1:19" x14ac:dyDescent="0.25">
      <c r="A6" s="45">
        <v>46041</v>
      </c>
      <c r="B6" s="46">
        <v>0.58402777777777781</v>
      </c>
      <c r="C6" s="27">
        <v>4</v>
      </c>
      <c r="D6" s="27">
        <v>2</v>
      </c>
      <c r="E6" s="27" t="s">
        <v>9</v>
      </c>
      <c r="F6" s="27">
        <v>0.5</v>
      </c>
      <c r="G6" s="27">
        <v>194</v>
      </c>
      <c r="H6" s="27">
        <v>1.67</v>
      </c>
      <c r="I6" s="27">
        <v>9.6699999999999998E-3</v>
      </c>
      <c r="J6" s="27"/>
      <c r="K6" s="27">
        <f>Calo!G$2*I6</f>
        <v>4.1442857142857141</v>
      </c>
      <c r="L6" s="27"/>
      <c r="M6" s="27">
        <f t="shared" si="0"/>
        <v>4.1442857142857141</v>
      </c>
      <c r="N6" s="27">
        <v>15</v>
      </c>
      <c r="O6" s="27">
        <f t="shared" si="1"/>
        <v>8.7944474268493007</v>
      </c>
      <c r="P6" s="27">
        <v>110</v>
      </c>
      <c r="Q6" s="47">
        <v>229.4</v>
      </c>
      <c r="R6" s="47" t="s">
        <v>47</v>
      </c>
      <c r="S6" s="48" t="s">
        <v>29</v>
      </c>
    </row>
    <row r="7" spans="1:19" x14ac:dyDescent="0.25">
      <c r="A7" s="45">
        <v>46041</v>
      </c>
      <c r="B7" s="46">
        <v>0.61527777777777781</v>
      </c>
      <c r="C7" s="27">
        <v>5</v>
      </c>
      <c r="D7" s="27">
        <v>2</v>
      </c>
      <c r="E7" s="27" t="s">
        <v>9</v>
      </c>
      <c r="F7" s="27">
        <v>0.5</v>
      </c>
      <c r="G7" s="27">
        <v>194</v>
      </c>
      <c r="H7" s="27">
        <v>1.67</v>
      </c>
      <c r="I7" s="27">
        <v>9.7999999999999997E-3</v>
      </c>
      <c r="J7" s="27"/>
      <c r="K7" s="27">
        <f>Calo!G$2*I7</f>
        <v>4.1999999999999993</v>
      </c>
      <c r="L7" s="27"/>
      <c r="M7" s="27">
        <f t="shared" si="0"/>
        <v>4.1999999999999993</v>
      </c>
      <c r="N7" s="27">
        <v>15</v>
      </c>
      <c r="O7" s="27">
        <f t="shared" si="1"/>
        <v>8.9126768131461365</v>
      </c>
      <c r="P7" s="27">
        <v>100</v>
      </c>
      <c r="Q7" s="47">
        <v>229.4</v>
      </c>
      <c r="R7" s="47" t="s">
        <v>47</v>
      </c>
      <c r="S7" s="49" t="s">
        <v>28</v>
      </c>
    </row>
    <row r="8" spans="1:19" x14ac:dyDescent="0.25">
      <c r="A8" s="45">
        <v>46041</v>
      </c>
      <c r="B8" s="46">
        <v>0.64374999999999993</v>
      </c>
      <c r="C8" s="27">
        <v>6</v>
      </c>
      <c r="D8" s="27">
        <v>2</v>
      </c>
      <c r="E8" s="27" t="s">
        <v>9</v>
      </c>
      <c r="F8" s="27">
        <v>1</v>
      </c>
      <c r="G8" s="27" t="s">
        <v>24</v>
      </c>
      <c r="H8" s="27">
        <v>1.67</v>
      </c>
      <c r="I8" s="27">
        <v>9.58E-3</v>
      </c>
      <c r="J8" s="27"/>
      <c r="K8" s="27">
        <f>Calo!G$2*I8</f>
        <v>4.1057142857142859</v>
      </c>
      <c r="L8" s="27"/>
      <c r="M8" s="27">
        <f t="shared" si="0"/>
        <v>4.1057142857142859</v>
      </c>
      <c r="N8" s="27">
        <v>15</v>
      </c>
      <c r="O8" s="27">
        <f t="shared" si="1"/>
        <v>8.7125963132591835</v>
      </c>
      <c r="P8" s="27">
        <v>100</v>
      </c>
      <c r="Q8" s="47">
        <v>229.4</v>
      </c>
      <c r="R8" s="47" t="s">
        <v>47</v>
      </c>
      <c r="S8" s="48" t="s">
        <v>30</v>
      </c>
    </row>
    <row r="9" spans="1:19" x14ac:dyDescent="0.25">
      <c r="A9" s="45">
        <v>46041</v>
      </c>
      <c r="B9" s="46">
        <v>0.65833333333333333</v>
      </c>
      <c r="C9" s="27">
        <v>7</v>
      </c>
      <c r="D9" s="27">
        <v>2</v>
      </c>
      <c r="E9" s="27" t="s">
        <v>9</v>
      </c>
      <c r="F9" s="27">
        <v>1</v>
      </c>
      <c r="G9" s="27" t="s">
        <v>24</v>
      </c>
      <c r="H9" s="27">
        <v>1.67</v>
      </c>
      <c r="I9" s="27">
        <v>9.5099999999999994E-3</v>
      </c>
      <c r="J9" s="27"/>
      <c r="K9" s="27">
        <f>Calo!G$2*I9</f>
        <v>4.0757142857142856</v>
      </c>
      <c r="L9" s="27"/>
      <c r="M9" s="27">
        <f t="shared" si="0"/>
        <v>4.0757142857142856</v>
      </c>
      <c r="N9" s="27">
        <v>15</v>
      </c>
      <c r="O9" s="27">
        <f t="shared" si="1"/>
        <v>8.6489343360224265</v>
      </c>
      <c r="P9" s="27">
        <v>90</v>
      </c>
      <c r="Q9" s="47">
        <v>229.4</v>
      </c>
      <c r="R9" s="47" t="s">
        <v>47</v>
      </c>
      <c r="S9" s="48" t="s">
        <v>26</v>
      </c>
    </row>
    <row r="10" spans="1:19" x14ac:dyDescent="0.25">
      <c r="A10" s="45">
        <v>46041</v>
      </c>
      <c r="B10" s="46">
        <v>0.69513888888888886</v>
      </c>
      <c r="C10" s="27">
        <v>8</v>
      </c>
      <c r="D10" s="27">
        <v>2</v>
      </c>
      <c r="E10" s="27" t="s">
        <v>9</v>
      </c>
      <c r="F10" s="27">
        <v>2</v>
      </c>
      <c r="G10" s="27" t="s">
        <v>24</v>
      </c>
      <c r="H10" s="27">
        <v>1.67</v>
      </c>
      <c r="I10" s="27">
        <v>9.4599999999999997E-3</v>
      </c>
      <c r="J10" s="27"/>
      <c r="K10" s="27">
        <f>Calo!G$2*I10</f>
        <v>4.0542857142857143</v>
      </c>
      <c r="L10" s="27"/>
      <c r="M10" s="27">
        <f t="shared" si="0"/>
        <v>4.0542857142857143</v>
      </c>
      <c r="N10" s="27">
        <v>15</v>
      </c>
      <c r="O10" s="27">
        <f t="shared" si="1"/>
        <v>8.6034614951390278</v>
      </c>
      <c r="P10" s="27">
        <v>60</v>
      </c>
      <c r="Q10" s="47">
        <v>106.1</v>
      </c>
      <c r="R10" s="47" t="s">
        <v>47</v>
      </c>
      <c r="S10" s="48" t="s">
        <v>72</v>
      </c>
    </row>
    <row r="11" spans="1:19" x14ac:dyDescent="0.25">
      <c r="A11" s="50">
        <v>46041</v>
      </c>
      <c r="B11" s="51">
        <v>0.71180555555555547</v>
      </c>
      <c r="C11" s="20">
        <v>9</v>
      </c>
      <c r="D11" s="20">
        <v>2</v>
      </c>
      <c r="E11" s="20" t="s">
        <v>9</v>
      </c>
      <c r="F11" s="20">
        <v>2</v>
      </c>
      <c r="G11" s="20" t="s">
        <v>24</v>
      </c>
      <c r="H11" s="20">
        <v>1.67</v>
      </c>
      <c r="I11" s="20">
        <v>9.4599999999999997E-3</v>
      </c>
      <c r="J11" s="20"/>
      <c r="K11" s="20">
        <f>Calo!G$2*I11</f>
        <v>4.0542857142857143</v>
      </c>
      <c r="L11" s="20"/>
      <c r="M11" s="20">
        <f t="shared" si="0"/>
        <v>4.0542857142857143</v>
      </c>
      <c r="N11" s="20">
        <v>15</v>
      </c>
      <c r="O11" s="20">
        <f t="shared" si="1"/>
        <v>8.6034614951390278</v>
      </c>
      <c r="P11" s="20">
        <v>15</v>
      </c>
      <c r="Q11" s="52">
        <v>106.1</v>
      </c>
      <c r="R11" s="52" t="s">
        <v>47</v>
      </c>
      <c r="S11" s="53" t="s">
        <v>31</v>
      </c>
    </row>
    <row r="12" spans="1:19" s="34" customFormat="1" x14ac:dyDescent="0.25">
      <c r="A12" s="40">
        <v>46042</v>
      </c>
      <c r="B12" s="41">
        <v>0.47083333333333338</v>
      </c>
      <c r="C12" s="42">
        <v>10</v>
      </c>
      <c r="D12" s="42">
        <v>2</v>
      </c>
      <c r="E12" s="42" t="s">
        <v>9</v>
      </c>
      <c r="F12" s="42">
        <v>2</v>
      </c>
      <c r="G12" s="42" t="s">
        <v>24</v>
      </c>
      <c r="H12" s="42">
        <v>1.67</v>
      </c>
      <c r="I12" s="42">
        <v>8.8800000000000007E-3</v>
      </c>
      <c r="J12" s="42"/>
      <c r="K12" s="42">
        <f>Calo!G$2*I12</f>
        <v>3.805714285714286</v>
      </c>
      <c r="L12" s="42"/>
      <c r="M12" s="42">
        <f t="shared" si="0"/>
        <v>3.805714285714286</v>
      </c>
      <c r="N12" s="42">
        <v>15</v>
      </c>
      <c r="O12" s="42">
        <f t="shared" si="1"/>
        <v>8.0759765408916042</v>
      </c>
      <c r="P12" s="42">
        <v>60</v>
      </c>
      <c r="Q12" s="43">
        <v>106.1</v>
      </c>
      <c r="R12" s="43" t="s">
        <v>47</v>
      </c>
      <c r="S12" s="44" t="s">
        <v>36</v>
      </c>
    </row>
    <row r="13" spans="1:19" s="34" customFormat="1" x14ac:dyDescent="0.25">
      <c r="A13" s="45">
        <v>46042</v>
      </c>
      <c r="B13" s="46">
        <v>0.4826388888888889</v>
      </c>
      <c r="C13" s="27">
        <v>11</v>
      </c>
      <c r="D13" s="27">
        <v>2</v>
      </c>
      <c r="E13" s="27" t="s">
        <v>9</v>
      </c>
      <c r="F13" s="27">
        <v>0.2</v>
      </c>
      <c r="G13" s="27" t="s">
        <v>24</v>
      </c>
      <c r="H13" s="27">
        <v>1.67</v>
      </c>
      <c r="I13" s="27">
        <v>0</v>
      </c>
      <c r="J13" s="27">
        <v>8.8800000000000007E-3</v>
      </c>
      <c r="K13" s="27">
        <f>Calo!G$2*I13</f>
        <v>0</v>
      </c>
      <c r="L13" s="27">
        <f>J13*Calo!H4</f>
        <v>6.6851320754716985</v>
      </c>
      <c r="M13" s="27">
        <f t="shared" ref="M13:M15" si="2">K13+L13</f>
        <v>6.6851320754716985</v>
      </c>
      <c r="N13" s="27">
        <v>15</v>
      </c>
      <c r="O13" s="27">
        <f t="shared" si="1"/>
        <v>14.186290867113364</v>
      </c>
      <c r="P13" s="27">
        <v>100</v>
      </c>
      <c r="Q13" s="47">
        <v>229.4</v>
      </c>
      <c r="R13" s="47" t="s">
        <v>47</v>
      </c>
      <c r="S13" s="48" t="s">
        <v>41</v>
      </c>
    </row>
    <row r="14" spans="1:19" s="34" customFormat="1" x14ac:dyDescent="0.25">
      <c r="A14" s="45">
        <v>46042</v>
      </c>
      <c r="B14" s="46">
        <v>0.4909722222222222</v>
      </c>
      <c r="C14" s="27">
        <v>12</v>
      </c>
      <c r="D14" s="27">
        <v>2</v>
      </c>
      <c r="E14" s="27" t="s">
        <v>9</v>
      </c>
      <c r="F14" s="27">
        <v>2</v>
      </c>
      <c r="G14" s="27" t="s">
        <v>24</v>
      </c>
      <c r="H14" s="27">
        <v>0.7</v>
      </c>
      <c r="I14" s="27">
        <v>7.9000000000000001E-2</v>
      </c>
      <c r="J14" s="27"/>
      <c r="K14" s="27">
        <f>Calo!G$2*I14</f>
        <v>33.857142857142854</v>
      </c>
      <c r="L14" s="27"/>
      <c r="M14" s="27">
        <f t="shared" si="2"/>
        <v>33.857142857142854</v>
      </c>
      <c r="N14" s="27">
        <v>15</v>
      </c>
      <c r="O14" s="27">
        <f t="shared" si="1"/>
        <v>71.847088595769875</v>
      </c>
      <c r="P14" s="27">
        <v>100</v>
      </c>
      <c r="Q14" s="47">
        <v>229.4</v>
      </c>
      <c r="R14" s="47" t="s">
        <v>47</v>
      </c>
      <c r="S14" s="48" t="s">
        <v>43</v>
      </c>
    </row>
    <row r="15" spans="1:19" s="34" customFormat="1" x14ac:dyDescent="0.25">
      <c r="A15" s="45">
        <v>46042</v>
      </c>
      <c r="B15" s="46">
        <v>0.53125</v>
      </c>
      <c r="C15" s="27">
        <v>13</v>
      </c>
      <c r="D15" s="27">
        <v>2</v>
      </c>
      <c r="E15" s="27" t="s">
        <v>9</v>
      </c>
      <c r="F15" s="27">
        <v>1</v>
      </c>
      <c r="G15" s="27" t="s">
        <v>24</v>
      </c>
      <c r="H15" s="27">
        <v>0.7</v>
      </c>
      <c r="I15" s="27">
        <v>7.7890000000000001E-2</v>
      </c>
      <c r="J15" s="27"/>
      <c r="K15" s="27">
        <f>Calo!G$2*I15</f>
        <v>33.381428571428572</v>
      </c>
      <c r="L15" s="27"/>
      <c r="M15" s="27">
        <f t="shared" si="2"/>
        <v>33.381428571428572</v>
      </c>
      <c r="N15" s="27">
        <v>15</v>
      </c>
      <c r="O15" s="27">
        <f t="shared" si="1"/>
        <v>70.837591528158441</v>
      </c>
      <c r="P15" s="27">
        <v>170</v>
      </c>
      <c r="Q15" s="47">
        <v>229.4</v>
      </c>
      <c r="R15" s="47" t="s">
        <v>47</v>
      </c>
      <c r="S15" s="48" t="s">
        <v>37</v>
      </c>
    </row>
    <row r="16" spans="1:19" s="34" customFormat="1" x14ac:dyDescent="0.25">
      <c r="A16" s="45">
        <v>46042</v>
      </c>
      <c r="B16" s="46">
        <v>0.54722222222222217</v>
      </c>
      <c r="C16" s="27">
        <v>14</v>
      </c>
      <c r="D16" s="27">
        <v>2</v>
      </c>
      <c r="E16" s="27" t="s">
        <v>9</v>
      </c>
      <c r="F16" s="27">
        <v>1</v>
      </c>
      <c r="G16" s="27" t="s">
        <v>24</v>
      </c>
      <c r="H16" s="27">
        <v>0.7</v>
      </c>
      <c r="I16" s="27">
        <v>7.6450000000000004E-2</v>
      </c>
      <c r="J16" s="27"/>
      <c r="K16" s="27">
        <f>Calo!G$2*I16</f>
        <v>32.764285714285712</v>
      </c>
      <c r="L16" s="27"/>
      <c r="M16" s="27">
        <f t="shared" ref="M16" si="3">K16+L16</f>
        <v>32.764285714285712</v>
      </c>
      <c r="N16" s="27">
        <v>15</v>
      </c>
      <c r="O16" s="27">
        <f t="shared" si="1"/>
        <v>69.527973710716552</v>
      </c>
      <c r="P16" s="27">
        <v>140</v>
      </c>
      <c r="Q16" s="47">
        <v>229.4</v>
      </c>
      <c r="R16" s="47" t="s">
        <v>47</v>
      </c>
      <c r="S16" s="48" t="s">
        <v>34</v>
      </c>
    </row>
    <row r="17" spans="1:19" s="34" customFormat="1" x14ac:dyDescent="0.25">
      <c r="A17" s="45">
        <v>46042</v>
      </c>
      <c r="B17" s="46">
        <v>0.5625</v>
      </c>
      <c r="C17" s="27">
        <v>15</v>
      </c>
      <c r="D17" s="27">
        <v>2</v>
      </c>
      <c r="E17" s="27" t="s">
        <v>9</v>
      </c>
      <c r="F17" s="27">
        <v>0.5</v>
      </c>
      <c r="G17" s="27" t="s">
        <v>24</v>
      </c>
      <c r="H17" s="27">
        <v>0.7</v>
      </c>
      <c r="I17" s="27">
        <v>8.072E-2</v>
      </c>
      <c r="J17" s="27"/>
      <c r="K17" s="27">
        <f>Calo!G$2*I17</f>
        <v>34.594285714285711</v>
      </c>
      <c r="L17" s="27"/>
      <c r="M17" s="27">
        <f t="shared" ref="M17" si="4">K17+L17</f>
        <v>34.594285714285711</v>
      </c>
      <c r="N17" s="27">
        <v>15</v>
      </c>
      <c r="O17" s="27">
        <f t="shared" ref="O17" si="5">M17/((D17*10^(-1)/2)*(D17*10^(-1)/2)*PI()*N17)</f>
        <v>73.4113543221588</v>
      </c>
      <c r="P17" s="27">
        <v>240</v>
      </c>
      <c r="Q17" s="47">
        <v>328.9</v>
      </c>
      <c r="R17" s="47" t="s">
        <v>47</v>
      </c>
      <c r="S17" s="48" t="s">
        <v>35</v>
      </c>
    </row>
    <row r="18" spans="1:19" s="34" customFormat="1" x14ac:dyDescent="0.25">
      <c r="A18" s="45">
        <v>46042</v>
      </c>
      <c r="B18" s="46">
        <v>0.59444444444444444</v>
      </c>
      <c r="C18" s="27">
        <v>16</v>
      </c>
      <c r="D18" s="27">
        <v>2</v>
      </c>
      <c r="E18" s="27" t="s">
        <v>9</v>
      </c>
      <c r="F18" s="27">
        <v>0.5</v>
      </c>
      <c r="G18" s="27" t="s">
        <v>24</v>
      </c>
      <c r="H18" s="27">
        <v>0.7</v>
      </c>
      <c r="I18" s="27">
        <v>7.6670000000000002E-2</v>
      </c>
      <c r="J18" s="27"/>
      <c r="K18" s="27">
        <f>Calo!G$2*I18</f>
        <v>32.85857142857143</v>
      </c>
      <c r="L18" s="27"/>
      <c r="M18" s="27">
        <f t="shared" ref="M18:M20" si="6">K18+L18</f>
        <v>32.85857142857143</v>
      </c>
      <c r="N18" s="27">
        <v>15</v>
      </c>
      <c r="O18" s="27">
        <f t="shared" ref="O18:O20" si="7">M18/((D18*10^(-1)/2)*(D18*10^(-1)/2)*PI()*N18)</f>
        <v>69.728054210603517</v>
      </c>
      <c r="P18" s="27">
        <v>200</v>
      </c>
      <c r="Q18" s="47">
        <v>328.9</v>
      </c>
      <c r="R18" s="47" t="s">
        <v>48</v>
      </c>
      <c r="S18" s="48" t="s">
        <v>39</v>
      </c>
    </row>
    <row r="19" spans="1:19" s="34" customFormat="1" x14ac:dyDescent="0.25">
      <c r="A19" s="45">
        <v>46042</v>
      </c>
      <c r="B19" s="46">
        <v>0.6118055555555556</v>
      </c>
      <c r="C19" s="27">
        <v>17</v>
      </c>
      <c r="D19" s="27">
        <v>2</v>
      </c>
      <c r="E19" s="27" t="s">
        <v>9</v>
      </c>
      <c r="F19" s="27">
        <v>0.2</v>
      </c>
      <c r="G19" s="27" t="s">
        <v>24</v>
      </c>
      <c r="H19" s="27">
        <v>0.7</v>
      </c>
      <c r="I19" s="27">
        <v>5.5599999999999997E-2</v>
      </c>
      <c r="J19" s="27"/>
      <c r="K19" s="27">
        <f>Calo!G$9*I19</f>
        <v>30.630410666666663</v>
      </c>
      <c r="L19" s="27"/>
      <c r="M19" s="27">
        <f t="shared" si="6"/>
        <v>30.630410666666663</v>
      </c>
      <c r="N19" s="27">
        <v>15</v>
      </c>
      <c r="O19" s="27">
        <f t="shared" si="7"/>
        <v>64.999750220462886</v>
      </c>
      <c r="P19" s="27">
        <v>270</v>
      </c>
      <c r="Q19" s="47">
        <v>542</v>
      </c>
      <c r="R19" s="47" t="s">
        <v>48</v>
      </c>
      <c r="S19" s="48" t="s">
        <v>40</v>
      </c>
    </row>
    <row r="20" spans="1:19" s="34" customFormat="1" x14ac:dyDescent="0.25">
      <c r="A20" s="45">
        <v>46042</v>
      </c>
      <c r="B20" s="46">
        <v>0.62638888888888888</v>
      </c>
      <c r="C20" s="27">
        <v>18</v>
      </c>
      <c r="D20" s="27">
        <v>2</v>
      </c>
      <c r="E20" s="27" t="s">
        <v>9</v>
      </c>
      <c r="F20" s="27">
        <v>0.2</v>
      </c>
      <c r="G20" s="27" t="s">
        <v>24</v>
      </c>
      <c r="H20" s="27">
        <v>0.7</v>
      </c>
      <c r="I20" s="27">
        <v>7.4999999999999997E-2</v>
      </c>
      <c r="J20" s="27"/>
      <c r="K20" s="27">
        <f>Calo!G$9*I20</f>
        <v>41.317999999999998</v>
      </c>
      <c r="L20" s="27"/>
      <c r="M20" s="27">
        <f t="shared" si="6"/>
        <v>41.317999999999998</v>
      </c>
      <c r="N20" s="27">
        <v>15</v>
      </c>
      <c r="O20" s="27">
        <f t="shared" si="7"/>
        <v>87.67951918227908</v>
      </c>
      <c r="P20" s="27">
        <v>320</v>
      </c>
      <c r="Q20" s="47">
        <v>542</v>
      </c>
      <c r="R20" s="47" t="s">
        <v>48</v>
      </c>
      <c r="S20" s="48" t="s">
        <v>42</v>
      </c>
    </row>
    <row r="21" spans="1:19" s="34" customFormat="1" x14ac:dyDescent="0.25">
      <c r="A21" s="45">
        <v>46042</v>
      </c>
      <c r="B21" s="46">
        <v>0.65625</v>
      </c>
      <c r="C21" s="27">
        <v>19</v>
      </c>
      <c r="D21" s="27">
        <v>2</v>
      </c>
      <c r="E21" s="27" t="s">
        <v>9</v>
      </c>
      <c r="F21" s="27">
        <v>0.2</v>
      </c>
      <c r="G21" s="27" t="s">
        <v>24</v>
      </c>
      <c r="H21" s="27">
        <v>0.7</v>
      </c>
      <c r="I21" s="27">
        <v>7.4459999999999998E-2</v>
      </c>
      <c r="J21" s="27"/>
      <c r="K21" s="27">
        <f>Calo!G$9*I21</f>
        <v>41.020510399999999</v>
      </c>
      <c r="L21" s="27"/>
      <c r="M21" s="27">
        <f t="shared" ref="M21" si="8">K21+L21</f>
        <v>41.020510399999999</v>
      </c>
      <c r="N21" s="27">
        <v>15</v>
      </c>
      <c r="O21" s="27">
        <f t="shared" ref="O21" si="9">M21/((D21*10^(-1)/2)*(D21*10^(-1)/2)*PI()*N21)</f>
        <v>87.048226644166675</v>
      </c>
      <c r="P21" s="27">
        <v>340</v>
      </c>
      <c r="Q21" s="47">
        <v>542</v>
      </c>
      <c r="R21" s="47" t="s">
        <v>48</v>
      </c>
      <c r="S21" s="48" t="s">
        <v>44</v>
      </c>
    </row>
    <row r="22" spans="1:19" s="34" customFormat="1" x14ac:dyDescent="0.25">
      <c r="A22" s="45">
        <v>46042</v>
      </c>
      <c r="B22" s="46">
        <v>0.67361111111111116</v>
      </c>
      <c r="C22" s="27">
        <v>20</v>
      </c>
      <c r="D22" s="27">
        <v>2</v>
      </c>
      <c r="E22" s="27" t="s">
        <v>9</v>
      </c>
      <c r="F22" s="27">
        <v>2</v>
      </c>
      <c r="G22" s="27" t="s">
        <v>24</v>
      </c>
      <c r="H22" s="27">
        <v>0.7</v>
      </c>
      <c r="I22" s="27"/>
      <c r="J22" s="27">
        <v>5.4489999999999997E-2</v>
      </c>
      <c r="K22" s="27">
        <f>Calo!G$2*I22</f>
        <v>0</v>
      </c>
      <c r="L22" s="27">
        <f>J22*Calo!H4</f>
        <v>41.021716981132073</v>
      </c>
      <c r="M22" s="27">
        <f t="shared" ref="M22" si="10">K22+L22</f>
        <v>41.021716981132073</v>
      </c>
      <c r="N22" s="27">
        <v>15</v>
      </c>
      <c r="O22" s="27">
        <f t="shared" ref="O22" si="11">M22/((D22*10^(-1)/2)*(D22*10^(-1)/2)*PI()*N22)</f>
        <v>87.050787088852147</v>
      </c>
      <c r="P22" s="27">
        <v>90</v>
      </c>
      <c r="Q22" s="47">
        <v>229.4</v>
      </c>
      <c r="R22" s="47" t="s">
        <v>47</v>
      </c>
      <c r="S22" s="48" t="s">
        <v>45</v>
      </c>
    </row>
    <row r="23" spans="1:19" s="34" customFormat="1" x14ac:dyDescent="0.25">
      <c r="A23" s="45">
        <v>46042</v>
      </c>
      <c r="B23" s="46">
        <v>0.69791666666666663</v>
      </c>
      <c r="C23" s="27">
        <v>21</v>
      </c>
      <c r="D23" s="27">
        <v>2</v>
      </c>
      <c r="E23" s="27" t="s">
        <v>9</v>
      </c>
      <c r="F23" s="27">
        <v>2</v>
      </c>
      <c r="G23" s="27" t="s">
        <v>24</v>
      </c>
      <c r="H23" s="27">
        <v>0</v>
      </c>
      <c r="I23" s="27">
        <v>0.37</v>
      </c>
      <c r="J23" s="27">
        <v>0.26300000000000001</v>
      </c>
      <c r="K23" s="27">
        <f>I23*Calo!G2</f>
        <v>158.57142857142856</v>
      </c>
      <c r="L23" s="27">
        <f>J23*Calo!H2</f>
        <v>204.23443223443223</v>
      </c>
      <c r="M23" s="27">
        <f t="shared" ref="M23" si="12">K23+L23</f>
        <v>362.80586080586079</v>
      </c>
      <c r="N23" s="27">
        <v>15</v>
      </c>
      <c r="O23" s="27">
        <f t="shared" ref="O23" si="13">M23/((D23*10^(-1)/2)*(D23*10^(-1)/2)*PI()*N23)</f>
        <v>769.89794839950491</v>
      </c>
      <c r="P23" s="27">
        <v>400</v>
      </c>
      <c r="Q23" s="47">
        <v>1892</v>
      </c>
      <c r="R23" s="47" t="s">
        <v>48</v>
      </c>
      <c r="S23" s="48" t="s">
        <v>58</v>
      </c>
    </row>
    <row r="24" spans="1:19" s="34" customFormat="1" x14ac:dyDescent="0.25">
      <c r="A24" s="50">
        <v>46042</v>
      </c>
      <c r="B24" s="51">
        <v>0.71875</v>
      </c>
      <c r="C24" s="20">
        <v>22</v>
      </c>
      <c r="D24" s="20">
        <v>2</v>
      </c>
      <c r="E24" s="20" t="s">
        <v>9</v>
      </c>
      <c r="F24" s="20">
        <v>1</v>
      </c>
      <c r="G24" s="20" t="s">
        <v>24</v>
      </c>
      <c r="H24" s="20">
        <v>0</v>
      </c>
      <c r="I24" s="20">
        <v>0.374</v>
      </c>
      <c r="J24" s="20">
        <v>0.27500000000000002</v>
      </c>
      <c r="K24" s="20">
        <f>I24*Calo!G$2</f>
        <v>160.28571428571428</v>
      </c>
      <c r="L24" s="20">
        <f>J24*Calo!H$2</f>
        <v>213.55311355311358</v>
      </c>
      <c r="M24" s="20">
        <f t="shared" ref="M24:M27" si="14">K24+L24</f>
        <v>373.83882783882785</v>
      </c>
      <c r="N24" s="20">
        <v>15</v>
      </c>
      <c r="O24" s="20">
        <f t="shared" ref="O24:O27" si="15">M24/((D24*10^(-1)/2)*(D24*10^(-1)/2)*PI()*N24)</f>
        <v>793.31063160305996</v>
      </c>
      <c r="P24" s="20">
        <v>900</v>
      </c>
      <c r="Q24" s="52">
        <v>1892</v>
      </c>
      <c r="R24" s="52" t="s">
        <v>48</v>
      </c>
      <c r="S24" s="54" t="s">
        <v>51</v>
      </c>
    </row>
    <row r="25" spans="1:19" s="33" customFormat="1" x14ac:dyDescent="0.25">
      <c r="A25" s="40">
        <v>46043</v>
      </c>
      <c r="B25" s="41">
        <v>0.58333333333333337</v>
      </c>
      <c r="C25" s="42">
        <v>23</v>
      </c>
      <c r="D25" s="42">
        <v>2</v>
      </c>
      <c r="E25" s="42" t="s">
        <v>9</v>
      </c>
      <c r="F25" s="42">
        <v>1</v>
      </c>
      <c r="G25" s="42" t="s">
        <v>24</v>
      </c>
      <c r="H25" s="42">
        <v>0</v>
      </c>
      <c r="I25" s="42">
        <v>0.39837</v>
      </c>
      <c r="J25" s="42">
        <v>0.28265000000000001</v>
      </c>
      <c r="K25" s="42">
        <f>I25*Calo!G$2</f>
        <v>170.73</v>
      </c>
      <c r="L25" s="42">
        <f>J25*Calo!H$2</f>
        <v>219.4937728937729</v>
      </c>
      <c r="M25" s="42">
        <f t="shared" si="14"/>
        <v>390.22377289377289</v>
      </c>
      <c r="N25" s="42">
        <v>15</v>
      </c>
      <c r="O25" s="42">
        <f t="shared" si="15"/>
        <v>828.08056490684146</v>
      </c>
      <c r="P25" s="42">
        <v>1200</v>
      </c>
      <c r="Q25" s="43">
        <v>1903</v>
      </c>
      <c r="R25" s="43" t="s">
        <v>48</v>
      </c>
      <c r="S25" s="44" t="s">
        <v>53</v>
      </c>
    </row>
    <row r="26" spans="1:19" s="33" customFormat="1" x14ac:dyDescent="0.25">
      <c r="A26" s="45">
        <v>46043</v>
      </c>
      <c r="B26" s="46">
        <v>0.63194444444444442</v>
      </c>
      <c r="C26" s="27">
        <v>24</v>
      </c>
      <c r="D26" s="27">
        <v>2</v>
      </c>
      <c r="E26" s="27" t="s">
        <v>9</v>
      </c>
      <c r="F26" s="27">
        <v>0.2</v>
      </c>
      <c r="G26" s="27" t="s">
        <v>24</v>
      </c>
      <c r="H26" s="27">
        <v>0</v>
      </c>
      <c r="I26" s="27">
        <v>0.41199999999999998</v>
      </c>
      <c r="J26" s="27">
        <v>0.28299999999999997</v>
      </c>
      <c r="K26" s="27">
        <f>I26*Calo!G$2</f>
        <v>176.57142857142856</v>
      </c>
      <c r="L26" s="27">
        <f>J26*Calo!H$2</f>
        <v>219.76556776556774</v>
      </c>
      <c r="M26" s="27">
        <f t="shared" si="14"/>
        <v>396.33699633699632</v>
      </c>
      <c r="N26" s="27">
        <v>15</v>
      </c>
      <c r="O26" s="27">
        <f t="shared" si="15"/>
        <v>841.05322796303165</v>
      </c>
      <c r="P26" s="27">
        <v>2600</v>
      </c>
      <c r="Q26" s="47">
        <v>5641</v>
      </c>
      <c r="R26" s="47" t="s">
        <v>48</v>
      </c>
      <c r="S26" s="48" t="s">
        <v>52</v>
      </c>
    </row>
    <row r="27" spans="1:19" s="33" customFormat="1" x14ac:dyDescent="0.25">
      <c r="A27" s="45">
        <v>46043</v>
      </c>
      <c r="B27" s="46">
        <v>0.64930555555555558</v>
      </c>
      <c r="C27" s="27">
        <v>25</v>
      </c>
      <c r="D27" s="27">
        <v>2</v>
      </c>
      <c r="E27" s="27" t="s">
        <v>9</v>
      </c>
      <c r="F27" s="27">
        <v>0.2</v>
      </c>
      <c r="G27" s="27" t="s">
        <v>24</v>
      </c>
      <c r="H27" s="27">
        <v>0</v>
      </c>
      <c r="I27" s="27">
        <v>0.41</v>
      </c>
      <c r="J27" s="27">
        <v>0.28599999999999998</v>
      </c>
      <c r="K27" s="27">
        <f>I27*Calo!G$2</f>
        <v>175.71428571428569</v>
      </c>
      <c r="L27" s="27">
        <f>J27*Calo!H$2</f>
        <v>222.09523809523807</v>
      </c>
      <c r="M27" s="27">
        <f t="shared" si="14"/>
        <v>397.80952380952374</v>
      </c>
      <c r="N27" s="27">
        <v>15</v>
      </c>
      <c r="O27" s="27">
        <f t="shared" si="15"/>
        <v>844.17802831091637</v>
      </c>
      <c r="P27" s="27">
        <v>2600</v>
      </c>
      <c r="Q27" s="47">
        <v>5641</v>
      </c>
      <c r="R27" s="47" t="s">
        <v>48</v>
      </c>
      <c r="S27" s="48" t="s">
        <v>54</v>
      </c>
    </row>
    <row r="28" spans="1:19" s="33" customFormat="1" x14ac:dyDescent="0.25">
      <c r="A28" s="45">
        <v>46043</v>
      </c>
      <c r="B28" s="46">
        <v>0.70486111111111116</v>
      </c>
      <c r="C28" s="27">
        <v>26</v>
      </c>
      <c r="D28" s="27">
        <v>2</v>
      </c>
      <c r="E28" s="27" t="s">
        <v>9</v>
      </c>
      <c r="F28" s="27">
        <v>2</v>
      </c>
      <c r="G28" s="27" t="s">
        <v>24</v>
      </c>
      <c r="H28" s="27">
        <v>0</v>
      </c>
      <c r="I28" s="27">
        <v>0.44400000000000001</v>
      </c>
      <c r="J28" s="27">
        <v>0.30299999999999999</v>
      </c>
      <c r="K28" s="27">
        <f>I28*Calo!G$2</f>
        <v>190.28571428571428</v>
      </c>
      <c r="L28" s="27">
        <f>J28*Calo!H$2</f>
        <v>235.29670329670327</v>
      </c>
      <c r="M28" s="27">
        <f t="shared" ref="M28" si="16">K28+L28</f>
        <v>425.58241758241752</v>
      </c>
      <c r="N28" s="27">
        <v>15</v>
      </c>
      <c r="O28" s="27">
        <f t="shared" ref="O28" si="17">M28/((D28*10^(-1)/2)*(D28*10^(-1)/2)*PI()*N28)</f>
        <v>903.11393934987859</v>
      </c>
      <c r="P28" s="27">
        <v>600</v>
      </c>
      <c r="Q28" s="47">
        <v>1903</v>
      </c>
      <c r="R28" s="47" t="s">
        <v>48</v>
      </c>
      <c r="S28" s="48" t="s">
        <v>55</v>
      </c>
    </row>
    <row r="29" spans="1:19" s="33" customFormat="1" x14ac:dyDescent="0.25">
      <c r="A29" s="45">
        <v>46043</v>
      </c>
      <c r="B29" s="46">
        <v>0.71875</v>
      </c>
      <c r="C29" s="27">
        <v>27</v>
      </c>
      <c r="D29" s="27">
        <v>2</v>
      </c>
      <c r="E29" s="27" t="s">
        <v>9</v>
      </c>
      <c r="F29" s="27">
        <v>2</v>
      </c>
      <c r="G29" s="27" t="s">
        <v>24</v>
      </c>
      <c r="H29" s="27">
        <v>0</v>
      </c>
      <c r="I29" s="27">
        <v>0.40799999999999997</v>
      </c>
      <c r="J29" s="27">
        <v>0.28349999999999997</v>
      </c>
      <c r="K29" s="27">
        <f>I29*Calo!G$2</f>
        <v>174.85714285714283</v>
      </c>
      <c r="L29" s="27">
        <f>J29*Calo!H$2</f>
        <v>220.15384615384613</v>
      </c>
      <c r="M29" s="27">
        <f t="shared" ref="M29:M30" si="18">K29+L29</f>
        <v>395.01098901098896</v>
      </c>
      <c r="N29" s="27">
        <v>15</v>
      </c>
      <c r="O29" s="27">
        <f t="shared" ref="O29:O34" si="19">M29/((D29*10^(-1)/2)*(D29*10^(-1)/2)*PI()*N29)</f>
        <v>838.23935302289647</v>
      </c>
      <c r="P29" s="27">
        <v>400</v>
      </c>
      <c r="Q29" s="47">
        <v>1903</v>
      </c>
      <c r="R29" s="47" t="s">
        <v>48</v>
      </c>
      <c r="S29" s="48" t="s">
        <v>56</v>
      </c>
    </row>
    <row r="30" spans="1:19" s="33" customFormat="1" x14ac:dyDescent="0.25">
      <c r="A30" s="45">
        <v>46043</v>
      </c>
      <c r="B30" s="46">
        <v>0.73263888888888884</v>
      </c>
      <c r="C30" s="27">
        <v>28</v>
      </c>
      <c r="D30" s="27">
        <v>2</v>
      </c>
      <c r="E30" s="27" t="s">
        <v>9</v>
      </c>
      <c r="F30" s="27">
        <v>1</v>
      </c>
      <c r="G30" s="27" t="s">
        <v>24</v>
      </c>
      <c r="H30" s="27">
        <v>0</v>
      </c>
      <c r="I30" s="27">
        <v>0.39700000000000002</v>
      </c>
      <c r="J30" s="27">
        <v>0.28489999999999999</v>
      </c>
      <c r="K30" s="27">
        <f>I30*Calo!G$2</f>
        <v>170.14285714285714</v>
      </c>
      <c r="L30" s="27">
        <f>J30*Calo!H$2</f>
        <v>221.24102564102563</v>
      </c>
      <c r="M30" s="27">
        <f t="shared" si="18"/>
        <v>391.38388278388277</v>
      </c>
      <c r="N30" s="27">
        <v>15</v>
      </c>
      <c r="O30" s="27">
        <f t="shared" si="19"/>
        <v>830.54239455405184</v>
      </c>
      <c r="P30" s="27">
        <v>1000</v>
      </c>
      <c r="Q30" s="47">
        <v>1903</v>
      </c>
      <c r="R30" s="47" t="s">
        <v>48</v>
      </c>
      <c r="S30" s="48" t="s">
        <v>57</v>
      </c>
    </row>
    <row r="31" spans="1:19" s="33" customFormat="1" x14ac:dyDescent="0.25">
      <c r="A31" s="50">
        <v>46043</v>
      </c>
      <c r="B31" s="51">
        <v>0.75</v>
      </c>
      <c r="C31" s="20">
        <v>29</v>
      </c>
      <c r="D31" s="20">
        <v>2</v>
      </c>
      <c r="E31" s="20" t="s">
        <v>9</v>
      </c>
      <c r="F31" s="20">
        <v>1</v>
      </c>
      <c r="G31" s="20" t="s">
        <v>24</v>
      </c>
      <c r="H31" s="20">
        <v>0</v>
      </c>
      <c r="I31" s="20">
        <v>0.379</v>
      </c>
      <c r="J31" s="20">
        <v>0.26619999999999999</v>
      </c>
      <c r="K31" s="20">
        <f>I31*Calo!G$2</f>
        <v>162.42857142857142</v>
      </c>
      <c r="L31" s="20">
        <f>J31*Calo!H$2</f>
        <v>206.71941391941391</v>
      </c>
      <c r="M31" s="20">
        <f t="shared" ref="M31" si="20">K31+L31</f>
        <v>369.14798534798535</v>
      </c>
      <c r="N31" s="20">
        <v>15</v>
      </c>
      <c r="O31" s="20">
        <f t="shared" si="19"/>
        <v>783.35635467395218</v>
      </c>
      <c r="P31" s="20">
        <v>1100</v>
      </c>
      <c r="Q31" s="52">
        <v>1903</v>
      </c>
      <c r="R31" s="52" t="s">
        <v>48</v>
      </c>
      <c r="S31" s="54" t="s">
        <v>59</v>
      </c>
    </row>
    <row r="32" spans="1:19" x14ac:dyDescent="0.25">
      <c r="A32" s="40">
        <v>46044</v>
      </c>
      <c r="B32" s="41">
        <v>0.4548611111111111</v>
      </c>
      <c r="C32" s="42">
        <v>30</v>
      </c>
      <c r="D32" s="42">
        <v>1</v>
      </c>
      <c r="E32" s="42" t="s">
        <v>9</v>
      </c>
      <c r="F32" s="42">
        <v>2</v>
      </c>
      <c r="G32" s="42" t="s">
        <v>24</v>
      </c>
      <c r="H32" s="42">
        <v>2.13</v>
      </c>
      <c r="I32" s="42" t="s">
        <v>12</v>
      </c>
      <c r="J32" s="42">
        <v>2.7299999999999998E-3</v>
      </c>
      <c r="K32" s="42">
        <v>0</v>
      </c>
      <c r="L32" s="42">
        <f>J32*Calo!H12</f>
        <v>1.3056068702290076</v>
      </c>
      <c r="M32" s="42">
        <f>K32+L32</f>
        <v>1.3056068702290076</v>
      </c>
      <c r="N32" s="42">
        <v>15</v>
      </c>
      <c r="O32" s="42">
        <f t="shared" si="19"/>
        <v>11.08233531368988</v>
      </c>
      <c r="P32" s="42">
        <v>45</v>
      </c>
      <c r="Q32" s="43">
        <v>123.4</v>
      </c>
      <c r="R32" s="43" t="s">
        <v>47</v>
      </c>
      <c r="S32" s="55" t="s">
        <v>65</v>
      </c>
    </row>
    <row r="33" spans="1:19" x14ac:dyDescent="0.25">
      <c r="A33" s="45">
        <v>46044</v>
      </c>
      <c r="B33" s="46">
        <v>0.46527777777777773</v>
      </c>
      <c r="C33" s="27">
        <v>31</v>
      </c>
      <c r="D33" s="27">
        <v>1</v>
      </c>
      <c r="E33" s="27" t="s">
        <v>9</v>
      </c>
      <c r="F33" s="27">
        <v>2</v>
      </c>
      <c r="G33" s="27" t="s">
        <v>24</v>
      </c>
      <c r="H33" s="27">
        <v>1.33</v>
      </c>
      <c r="I33" s="27">
        <v>1.891E-2</v>
      </c>
      <c r="J33" s="27"/>
      <c r="K33" s="27">
        <f>I33*Calo!G12</f>
        <v>9.4765471783783788</v>
      </c>
      <c r="L33" s="27">
        <f>J33*Calo!H$12</f>
        <v>0</v>
      </c>
      <c r="M33" s="27">
        <f>K33+L33</f>
        <v>9.4765471783783788</v>
      </c>
      <c r="N33" s="27">
        <v>15</v>
      </c>
      <c r="O33" s="27">
        <f t="shared" si="19"/>
        <v>80.439430767065176</v>
      </c>
      <c r="P33" s="27">
        <v>60</v>
      </c>
      <c r="Q33" s="47">
        <v>123.4</v>
      </c>
      <c r="R33" s="47" t="s">
        <v>47</v>
      </c>
      <c r="S33" s="48" t="s">
        <v>60</v>
      </c>
    </row>
    <row r="34" spans="1:19" x14ac:dyDescent="0.25">
      <c r="A34" s="45">
        <v>46044</v>
      </c>
      <c r="B34" s="46">
        <v>0.47916666666666669</v>
      </c>
      <c r="C34" s="27">
        <v>32</v>
      </c>
      <c r="D34" s="27">
        <v>1</v>
      </c>
      <c r="E34" s="27" t="s">
        <v>9</v>
      </c>
      <c r="F34" s="27">
        <v>0.2</v>
      </c>
      <c r="G34" s="27" t="s">
        <v>24</v>
      </c>
      <c r="H34" s="27">
        <v>2.13</v>
      </c>
      <c r="I34" s="27"/>
      <c r="J34" s="27">
        <v>2.5200000000000001E-3</v>
      </c>
      <c r="K34" s="27">
        <v>0</v>
      </c>
      <c r="L34" s="27">
        <f>J34*Calo!H12</f>
        <v>1.205175572519084</v>
      </c>
      <c r="M34" s="27">
        <f>K34+L34</f>
        <v>1.205175572519084</v>
      </c>
      <c r="N34" s="27">
        <v>15</v>
      </c>
      <c r="O34" s="27">
        <f t="shared" si="19"/>
        <v>10.229847981867582</v>
      </c>
      <c r="P34" s="27">
        <v>100</v>
      </c>
      <c r="Q34" s="47">
        <v>123.4</v>
      </c>
      <c r="R34" s="47" t="s">
        <v>47</v>
      </c>
      <c r="S34" s="48" t="s">
        <v>61</v>
      </c>
    </row>
    <row r="35" spans="1:19" x14ac:dyDescent="0.25">
      <c r="A35" s="45">
        <v>46044</v>
      </c>
      <c r="B35" s="46">
        <v>0.54861111111111105</v>
      </c>
      <c r="C35" s="27">
        <v>33</v>
      </c>
      <c r="D35" s="27">
        <v>1</v>
      </c>
      <c r="E35" s="27" t="s">
        <v>9</v>
      </c>
      <c r="F35" s="27">
        <v>1</v>
      </c>
      <c r="G35" s="27" t="s">
        <v>24</v>
      </c>
      <c r="H35" s="27">
        <v>2.13</v>
      </c>
      <c r="I35" s="27"/>
      <c r="J35" s="27">
        <v>2.33E-3</v>
      </c>
      <c r="K35" s="27">
        <v>0</v>
      </c>
      <c r="L35" s="27">
        <f>J35*Calo!H12</f>
        <v>1.1143091603053434</v>
      </c>
      <c r="M35" s="27">
        <f t="shared" ref="M35:M50" si="21">K35+L35</f>
        <v>1.1143091603053434</v>
      </c>
      <c r="N35" s="27">
        <v>15</v>
      </c>
      <c r="O35" s="27">
        <f t="shared" ref="O35:O51" si="22">M35/((D35*10^(-1)/2)*(D35*10^(-1)/2)*PI()*N35)</f>
        <v>9.4585499197426444</v>
      </c>
      <c r="P35" s="27">
        <v>70</v>
      </c>
      <c r="Q35" s="47">
        <v>123.4</v>
      </c>
      <c r="R35" s="47" t="s">
        <v>47</v>
      </c>
      <c r="S35" s="48" t="s">
        <v>71</v>
      </c>
    </row>
    <row r="36" spans="1:19" x14ac:dyDescent="0.25">
      <c r="A36" s="45">
        <v>46044</v>
      </c>
      <c r="B36" s="46">
        <v>0.55902777777777779</v>
      </c>
      <c r="C36" s="27">
        <v>34</v>
      </c>
      <c r="D36" s="27">
        <v>1</v>
      </c>
      <c r="E36" s="27" t="s">
        <v>9</v>
      </c>
      <c r="F36" s="27">
        <v>1</v>
      </c>
      <c r="G36" s="27" t="s">
        <v>24</v>
      </c>
      <c r="H36" s="27">
        <v>1.33</v>
      </c>
      <c r="I36" s="27">
        <v>1.8380000000000001E-2</v>
      </c>
      <c r="J36" s="27"/>
      <c r="K36" s="27">
        <f>I33*Calo!G12</f>
        <v>9.4765471783783788</v>
      </c>
      <c r="L36" s="27">
        <f>J36*Calo!H13</f>
        <v>0</v>
      </c>
      <c r="M36" s="27">
        <f t="shared" si="21"/>
        <v>9.4765471783783788</v>
      </c>
      <c r="N36" s="27">
        <v>15</v>
      </c>
      <c r="O36" s="27">
        <f t="shared" si="22"/>
        <v>80.439430767065176</v>
      </c>
      <c r="P36" s="27">
        <v>110</v>
      </c>
      <c r="Q36" s="47">
        <v>229.4</v>
      </c>
      <c r="R36" s="47" t="s">
        <v>48</v>
      </c>
      <c r="S36" s="49" t="s">
        <v>62</v>
      </c>
    </row>
    <row r="37" spans="1:19" x14ac:dyDescent="0.25">
      <c r="A37" s="45">
        <v>46044</v>
      </c>
      <c r="B37" s="46">
        <v>0.56666666666666665</v>
      </c>
      <c r="C37" s="27">
        <v>35</v>
      </c>
      <c r="D37" s="27">
        <v>1</v>
      </c>
      <c r="E37" s="27" t="s">
        <v>9</v>
      </c>
      <c r="F37" s="27">
        <v>0.2</v>
      </c>
      <c r="G37" s="27" t="s">
        <v>24</v>
      </c>
      <c r="H37" s="27">
        <v>2.13</v>
      </c>
      <c r="I37" s="27"/>
      <c r="J37" s="27">
        <v>2.6199999999999999E-3</v>
      </c>
      <c r="K37" s="27">
        <f>I34*Calo!G13</f>
        <v>0</v>
      </c>
      <c r="L37" s="27">
        <f>J37*Calo!H12</f>
        <v>1.2529999999999999</v>
      </c>
      <c r="M37" s="27">
        <f t="shared" si="21"/>
        <v>1.2529999999999999</v>
      </c>
      <c r="N37" s="27">
        <v>15</v>
      </c>
      <c r="O37" s="27">
        <f t="shared" si="22"/>
        <v>10.63579433035439</v>
      </c>
      <c r="P37" s="27">
        <v>110</v>
      </c>
      <c r="Q37" s="47">
        <v>229.4</v>
      </c>
      <c r="R37" s="47" t="s">
        <v>47</v>
      </c>
      <c r="S37" s="48" t="s">
        <v>63</v>
      </c>
    </row>
    <row r="38" spans="1:19" x14ac:dyDescent="0.25">
      <c r="A38" s="45">
        <v>46044</v>
      </c>
      <c r="B38" s="46">
        <v>0.60416666666666663</v>
      </c>
      <c r="C38" s="27">
        <v>36</v>
      </c>
      <c r="D38" s="27">
        <v>1</v>
      </c>
      <c r="E38" s="27" t="s">
        <v>9</v>
      </c>
      <c r="F38" s="27">
        <v>2</v>
      </c>
      <c r="G38" s="27" t="s">
        <v>24</v>
      </c>
      <c r="H38" s="27">
        <v>1.33</v>
      </c>
      <c r="I38" s="27">
        <v>1.8360000000000001E-2</v>
      </c>
      <c r="J38" s="27"/>
      <c r="K38" s="27">
        <f>I38*Calo!G12</f>
        <v>9.2009204756756766</v>
      </c>
      <c r="L38" s="27">
        <v>0</v>
      </c>
      <c r="M38" s="27">
        <f t="shared" si="21"/>
        <v>9.2009204756756766</v>
      </c>
      <c r="N38" s="27">
        <v>15</v>
      </c>
      <c r="O38" s="27">
        <f t="shared" si="22"/>
        <v>78.099838650624889</v>
      </c>
      <c r="P38" s="27">
        <v>60</v>
      </c>
      <c r="Q38" s="47">
        <v>123.4</v>
      </c>
      <c r="R38" s="47" t="s">
        <v>47</v>
      </c>
      <c r="S38" s="48" t="s">
        <v>64</v>
      </c>
    </row>
    <row r="39" spans="1:19" x14ac:dyDescent="0.25">
      <c r="A39" s="45">
        <v>46044</v>
      </c>
      <c r="B39" s="46">
        <v>0.60763888888888895</v>
      </c>
      <c r="C39" s="27">
        <v>37</v>
      </c>
      <c r="D39" s="27">
        <v>1</v>
      </c>
      <c r="E39" s="27" t="s">
        <v>9</v>
      </c>
      <c r="F39" s="27">
        <v>2</v>
      </c>
      <c r="G39" s="27" t="s">
        <v>24</v>
      </c>
      <c r="H39" s="27">
        <v>2.13</v>
      </c>
      <c r="I39" s="27"/>
      <c r="J39" s="27">
        <v>2.63E-3</v>
      </c>
      <c r="K39" s="27">
        <v>0</v>
      </c>
      <c r="L39" s="27">
        <f>J39*Calo!H12</f>
        <v>1.2577824427480915</v>
      </c>
      <c r="M39" s="27">
        <f t="shared" si="21"/>
        <v>1.2577824427480915</v>
      </c>
      <c r="N39" s="27">
        <v>15</v>
      </c>
      <c r="O39" s="27">
        <f t="shared" si="22"/>
        <v>10.676388965203071</v>
      </c>
      <c r="P39" s="27">
        <v>40</v>
      </c>
      <c r="Q39" s="47">
        <v>123.4</v>
      </c>
      <c r="R39" s="47" t="s">
        <v>47</v>
      </c>
      <c r="S39" s="48" t="s">
        <v>66</v>
      </c>
    </row>
    <row r="40" spans="1:19" x14ac:dyDescent="0.25">
      <c r="A40" s="45">
        <v>46044</v>
      </c>
      <c r="B40" s="46">
        <v>0.625</v>
      </c>
      <c r="C40" s="27">
        <v>38</v>
      </c>
      <c r="D40" s="27">
        <v>1</v>
      </c>
      <c r="E40" s="27" t="s">
        <v>9</v>
      </c>
      <c r="F40" s="27">
        <v>0.2</v>
      </c>
      <c r="G40" s="27" t="s">
        <v>24</v>
      </c>
      <c r="H40" s="27">
        <v>1.33</v>
      </c>
      <c r="I40" s="27">
        <v>1.7389999999999999E-2</v>
      </c>
      <c r="J40" s="27"/>
      <c r="K40" s="27">
        <f>I40*Calo!G12</f>
        <v>8.7148152000000003</v>
      </c>
      <c r="L40" s="27"/>
      <c r="M40" s="27">
        <f t="shared" si="21"/>
        <v>8.7148152000000003</v>
      </c>
      <c r="N40" s="27">
        <v>15</v>
      </c>
      <c r="O40" s="27">
        <f t="shared" si="22"/>
        <v>73.973648917993842</v>
      </c>
      <c r="P40" s="27">
        <v>200</v>
      </c>
      <c r="Q40" s="47">
        <v>542</v>
      </c>
      <c r="R40" s="47" t="s">
        <v>48</v>
      </c>
      <c r="S40" s="49" t="s">
        <v>67</v>
      </c>
    </row>
    <row r="41" spans="1:19" x14ac:dyDescent="0.25">
      <c r="A41" s="45">
        <v>46044</v>
      </c>
      <c r="B41" s="46">
        <v>0.63888888888888895</v>
      </c>
      <c r="C41" s="27">
        <v>39</v>
      </c>
      <c r="D41" s="27">
        <v>1</v>
      </c>
      <c r="E41" s="27" t="s">
        <v>9</v>
      </c>
      <c r="F41" s="27">
        <v>0.2</v>
      </c>
      <c r="G41" s="27" t="s">
        <v>24</v>
      </c>
      <c r="H41" s="27">
        <v>1.33</v>
      </c>
      <c r="I41" s="27">
        <v>1.8599999999999998E-2</v>
      </c>
      <c r="J41" s="27"/>
      <c r="K41" s="27">
        <f>I41*Calo!G12</f>
        <v>9.3211939459459465</v>
      </c>
      <c r="L41" s="27"/>
      <c r="M41" s="27">
        <f t="shared" si="21"/>
        <v>9.3211939459459465</v>
      </c>
      <c r="N41" s="27">
        <v>15</v>
      </c>
      <c r="O41" s="27">
        <f t="shared" si="22"/>
        <v>79.120751574162469</v>
      </c>
      <c r="P41" s="27">
        <v>290</v>
      </c>
      <c r="Q41" s="47">
        <v>542</v>
      </c>
      <c r="R41" s="47" t="s">
        <v>47</v>
      </c>
      <c r="S41" s="48" t="s">
        <v>68</v>
      </c>
    </row>
    <row r="42" spans="1:19" x14ac:dyDescent="0.25">
      <c r="A42" s="45">
        <v>46044</v>
      </c>
      <c r="B42" s="46">
        <v>0.65277777777777779</v>
      </c>
      <c r="C42" s="27">
        <v>40</v>
      </c>
      <c r="D42" s="27">
        <v>1</v>
      </c>
      <c r="E42" s="27" t="s">
        <v>9</v>
      </c>
      <c r="F42" s="27">
        <v>1</v>
      </c>
      <c r="G42" s="27" t="s">
        <v>24</v>
      </c>
      <c r="H42" s="27">
        <v>2.13</v>
      </c>
      <c r="I42" s="27"/>
      <c r="J42" s="27">
        <v>2.14E-3</v>
      </c>
      <c r="K42" s="27"/>
      <c r="L42" s="27">
        <f>J42*Calo!H12</f>
        <v>1.0234427480916031</v>
      </c>
      <c r="M42" s="27">
        <f t="shared" si="21"/>
        <v>1.0234427480916031</v>
      </c>
      <c r="N42" s="27">
        <v>15</v>
      </c>
      <c r="O42" s="27">
        <f t="shared" si="22"/>
        <v>8.68725185761771</v>
      </c>
      <c r="P42" s="27">
        <v>70</v>
      </c>
      <c r="Q42" s="47">
        <v>123.4</v>
      </c>
      <c r="R42" s="47" t="s">
        <v>47</v>
      </c>
      <c r="S42" s="48" t="s">
        <v>70</v>
      </c>
    </row>
    <row r="43" spans="1:19" x14ac:dyDescent="0.25">
      <c r="A43" s="45">
        <v>46044</v>
      </c>
      <c r="B43" s="46">
        <v>0.68055555555555547</v>
      </c>
      <c r="C43" s="27">
        <v>41</v>
      </c>
      <c r="D43" s="27">
        <v>1</v>
      </c>
      <c r="E43" s="27" t="s">
        <v>9</v>
      </c>
      <c r="F43" s="27">
        <v>1</v>
      </c>
      <c r="G43" s="27" t="s">
        <v>24</v>
      </c>
      <c r="H43" s="27">
        <v>1.33</v>
      </c>
      <c r="I43" s="27">
        <v>1.814E-2</v>
      </c>
      <c r="J43" s="27"/>
      <c r="K43" s="27">
        <f>I43*Calo!G12</f>
        <v>9.0906697945945947</v>
      </c>
      <c r="L43" s="27"/>
      <c r="M43" s="27">
        <f t="shared" si="21"/>
        <v>9.0906697945945947</v>
      </c>
      <c r="N43" s="27">
        <v>15</v>
      </c>
      <c r="O43" s="27">
        <f t="shared" si="22"/>
        <v>77.164001804048766</v>
      </c>
      <c r="P43" s="27">
        <v>100</v>
      </c>
      <c r="Q43" s="47">
        <v>123.4</v>
      </c>
      <c r="R43" s="47" t="s">
        <v>47</v>
      </c>
      <c r="S43" s="48" t="s">
        <v>69</v>
      </c>
    </row>
    <row r="44" spans="1:19" x14ac:dyDescent="0.25">
      <c r="A44" s="45">
        <v>46044</v>
      </c>
      <c r="B44" s="17">
        <v>0.70416666666666661</v>
      </c>
      <c r="C44" s="27">
        <v>42</v>
      </c>
      <c r="D44" s="27">
        <v>1</v>
      </c>
      <c r="E44" s="27" t="s">
        <v>9</v>
      </c>
      <c r="F44" s="27">
        <v>2</v>
      </c>
      <c r="G44" s="27" t="s">
        <v>24</v>
      </c>
      <c r="H44" s="27">
        <v>0.33</v>
      </c>
      <c r="I44" s="27">
        <v>0.185</v>
      </c>
      <c r="J44" s="18"/>
      <c r="K44" s="18">
        <f>I44*Calo!G11</f>
        <v>102.04886187845302</v>
      </c>
      <c r="L44" s="18"/>
      <c r="M44" s="27">
        <f t="shared" si="21"/>
        <v>102.04886187845302</v>
      </c>
      <c r="N44" s="27">
        <v>15</v>
      </c>
      <c r="O44" s="27">
        <f t="shared" si="22"/>
        <v>866.21764292575347</v>
      </c>
      <c r="P44" s="27">
        <v>100</v>
      </c>
      <c r="Q44" s="56">
        <v>1053</v>
      </c>
      <c r="R44" s="47" t="s">
        <v>48</v>
      </c>
      <c r="S44" s="48" t="s">
        <v>73</v>
      </c>
    </row>
    <row r="45" spans="1:19" x14ac:dyDescent="0.25">
      <c r="A45" s="45">
        <v>46044</v>
      </c>
      <c r="B45" s="17">
        <v>0.71527777777777779</v>
      </c>
      <c r="C45" s="27">
        <v>43</v>
      </c>
      <c r="D45" s="27">
        <v>1</v>
      </c>
      <c r="E45" s="27" t="s">
        <v>9</v>
      </c>
      <c r="F45" s="27">
        <v>1</v>
      </c>
      <c r="G45" s="27" t="s">
        <v>24</v>
      </c>
      <c r="H45" s="27">
        <v>0.33</v>
      </c>
      <c r="I45" s="18"/>
      <c r="J45" s="18">
        <v>0.13089999999999999</v>
      </c>
      <c r="K45" s="18">
        <f>I45*Calo!H11</f>
        <v>0</v>
      </c>
      <c r="L45" s="18">
        <f>J45*Calo!H11</f>
        <v>93.911271034482738</v>
      </c>
      <c r="M45" s="27">
        <f t="shared" si="21"/>
        <v>93.911271034482738</v>
      </c>
      <c r="N45" s="27">
        <v>15</v>
      </c>
      <c r="O45" s="27">
        <f t="shared" si="22"/>
        <v>797.14362651630177</v>
      </c>
      <c r="P45" s="27">
        <v>600</v>
      </c>
      <c r="Q45" s="56">
        <v>1053</v>
      </c>
      <c r="R45" s="47" t="s">
        <v>48</v>
      </c>
      <c r="S45" s="49" t="s">
        <v>74</v>
      </c>
    </row>
    <row r="46" spans="1:19" x14ac:dyDescent="0.25">
      <c r="A46" s="50">
        <v>46044</v>
      </c>
      <c r="B46" s="13">
        <v>0.72986111111111107</v>
      </c>
      <c r="C46" s="20">
        <v>44</v>
      </c>
      <c r="D46" s="20">
        <v>1</v>
      </c>
      <c r="E46" s="20" t="s">
        <v>9</v>
      </c>
      <c r="F46" s="20">
        <v>1</v>
      </c>
      <c r="G46" s="20" t="s">
        <v>24</v>
      </c>
      <c r="H46" s="20">
        <v>0.33</v>
      </c>
      <c r="I46" s="20">
        <v>0.18253</v>
      </c>
      <c r="J46" s="14"/>
      <c r="K46" s="14">
        <f>I46*Calo!G11</f>
        <v>100.68637166850827</v>
      </c>
      <c r="L46" s="14"/>
      <c r="M46" s="20">
        <f t="shared" si="21"/>
        <v>100.68637166850827</v>
      </c>
      <c r="N46" s="20">
        <v>15</v>
      </c>
      <c r="O46" s="20">
        <f t="shared" si="22"/>
        <v>854.6524668283123</v>
      </c>
      <c r="P46" s="20">
        <v>600</v>
      </c>
      <c r="Q46" s="57">
        <v>1053</v>
      </c>
      <c r="R46" s="52" t="s">
        <v>48</v>
      </c>
      <c r="S46" s="54" t="s">
        <v>75</v>
      </c>
    </row>
    <row r="47" spans="1:19" x14ac:dyDescent="0.25">
      <c r="A47" s="29">
        <v>46045</v>
      </c>
      <c r="B47" s="2">
        <v>0.44236111111111115</v>
      </c>
      <c r="C47" s="31">
        <v>45</v>
      </c>
      <c r="D47" s="31">
        <v>1</v>
      </c>
      <c r="E47" s="31" t="s">
        <v>9</v>
      </c>
      <c r="F47" s="31">
        <v>2</v>
      </c>
      <c r="G47" s="31" t="s">
        <v>24</v>
      </c>
      <c r="H47" s="31">
        <v>0.33</v>
      </c>
      <c r="I47" s="27">
        <v>0.12642999999999999</v>
      </c>
      <c r="J47">
        <v>0</v>
      </c>
      <c r="K47" s="18">
        <f>I47*Calo!G13</f>
        <v>68.97854990163934</v>
      </c>
      <c r="L47" s="18"/>
      <c r="M47" s="27">
        <f t="shared" si="21"/>
        <v>68.97854990163934</v>
      </c>
      <c r="N47" s="27">
        <v>15</v>
      </c>
      <c r="O47" s="27">
        <f t="shared" si="22"/>
        <v>585.50811648836645</v>
      </c>
      <c r="P47" s="27">
        <v>100</v>
      </c>
      <c r="Q47" s="3">
        <v>329.4</v>
      </c>
      <c r="R47" s="47" t="s">
        <v>47</v>
      </c>
      <c r="S47" s="5" t="s">
        <v>76</v>
      </c>
    </row>
    <row r="48" spans="1:19" x14ac:dyDescent="0.25">
      <c r="A48" s="29">
        <v>46045</v>
      </c>
      <c r="B48" s="30">
        <v>0.46180555555555558</v>
      </c>
      <c r="C48" s="27">
        <v>46</v>
      </c>
      <c r="D48" s="31">
        <v>1</v>
      </c>
      <c r="E48" s="31" t="s">
        <v>9</v>
      </c>
      <c r="F48" s="31">
        <v>1</v>
      </c>
      <c r="G48" s="31" t="s">
        <v>24</v>
      </c>
      <c r="H48" s="31">
        <v>1.33</v>
      </c>
      <c r="I48" s="31">
        <v>0</v>
      </c>
      <c r="J48" s="31">
        <v>1.3299999999999999E-2</v>
      </c>
      <c r="K48" s="27">
        <f>I48*Calo!G13</f>
        <v>0</v>
      </c>
      <c r="L48" s="27">
        <f>J48*Calo!H12</f>
        <v>6.3606488549618314</v>
      </c>
      <c r="M48" s="27">
        <f t="shared" si="21"/>
        <v>6.3606488549618314</v>
      </c>
      <c r="N48" s="27">
        <v>15</v>
      </c>
      <c r="O48" s="27">
        <f t="shared" si="22"/>
        <v>53.990864348745568</v>
      </c>
      <c r="P48" s="31">
        <v>100</v>
      </c>
      <c r="Q48" s="32">
        <v>329.4</v>
      </c>
      <c r="R48" s="47" t="s">
        <v>47</v>
      </c>
      <c r="S48" s="31" t="s">
        <v>77</v>
      </c>
    </row>
    <row r="49" spans="1:19" x14ac:dyDescent="0.25">
      <c r="A49" s="29">
        <v>46045</v>
      </c>
      <c r="B49" s="30">
        <v>0.47291666666666665</v>
      </c>
      <c r="C49" s="27">
        <v>47</v>
      </c>
      <c r="D49" s="31">
        <v>1</v>
      </c>
      <c r="E49" s="31" t="s">
        <v>9</v>
      </c>
      <c r="F49" s="31">
        <v>0.2</v>
      </c>
      <c r="G49" s="31" t="s">
        <v>24</v>
      </c>
      <c r="H49" s="31">
        <v>1.33</v>
      </c>
      <c r="I49" s="31">
        <v>1.77E-2</v>
      </c>
      <c r="J49" s="31"/>
      <c r="K49" s="27">
        <f>I49*Calo!G13</f>
        <v>9.6568878688524595</v>
      </c>
      <c r="L49" s="27"/>
      <c r="M49" s="27">
        <f t="shared" si="21"/>
        <v>9.6568878688524595</v>
      </c>
      <c r="N49" s="27">
        <v>15</v>
      </c>
      <c r="O49" s="27">
        <f t="shared" si="22"/>
        <v>81.970210091308132</v>
      </c>
      <c r="P49" s="31">
        <v>280</v>
      </c>
      <c r="Q49" s="32">
        <v>329.4</v>
      </c>
      <c r="R49" s="47" t="s">
        <v>47</v>
      </c>
      <c r="S49" s="31" t="s">
        <v>79</v>
      </c>
    </row>
    <row r="50" spans="1:19" x14ac:dyDescent="0.25">
      <c r="A50" s="29">
        <v>46045</v>
      </c>
      <c r="B50" s="30">
        <v>0.49305555555555558</v>
      </c>
      <c r="C50" s="27">
        <v>48</v>
      </c>
      <c r="D50" s="31">
        <v>1</v>
      </c>
      <c r="E50" s="31" t="s">
        <v>9</v>
      </c>
      <c r="F50" s="31">
        <v>1</v>
      </c>
      <c r="G50" s="31" t="s">
        <v>24</v>
      </c>
      <c r="H50" s="31">
        <v>0.33</v>
      </c>
      <c r="I50" s="31"/>
      <c r="J50" s="31">
        <v>0.13025999999999999</v>
      </c>
      <c r="K50" s="27"/>
      <c r="L50" s="27">
        <f>J50*Calo!H13</f>
        <v>100.78926709090906</v>
      </c>
      <c r="M50" s="27">
        <f>K50+L50</f>
        <v>100.78926709090906</v>
      </c>
      <c r="N50" s="27">
        <v>15</v>
      </c>
      <c r="O50" s="27">
        <f t="shared" si="22"/>
        <v>855.52587030013171</v>
      </c>
      <c r="P50" s="31">
        <v>250</v>
      </c>
      <c r="Q50" s="32">
        <v>1053</v>
      </c>
      <c r="R50" s="47" t="s">
        <v>47</v>
      </c>
      <c r="S50" s="31" t="s">
        <v>78</v>
      </c>
    </row>
    <row r="51" spans="1:19" s="31" customFormat="1" x14ac:dyDescent="0.25">
      <c r="A51" s="29">
        <v>46045</v>
      </c>
      <c r="B51" s="30">
        <v>0.50972222222222219</v>
      </c>
      <c r="C51" s="27">
        <v>49</v>
      </c>
      <c r="D51" s="31">
        <v>1</v>
      </c>
      <c r="E51" s="31" t="s">
        <v>80</v>
      </c>
      <c r="F51" s="31">
        <v>0.7</v>
      </c>
      <c r="G51" s="31" t="s">
        <v>24</v>
      </c>
      <c r="H51" s="31">
        <v>0</v>
      </c>
      <c r="I51" s="31">
        <v>0.39200000000000002</v>
      </c>
      <c r="J51" s="31">
        <v>0</v>
      </c>
      <c r="K51" s="31">
        <f>I51*Calo!G13</f>
        <v>213.87005901639344</v>
      </c>
      <c r="L51" s="31">
        <v>0</v>
      </c>
      <c r="M51" s="27">
        <f>K51+L51</f>
        <v>213.87005901639344</v>
      </c>
      <c r="N51" s="27">
        <v>15</v>
      </c>
      <c r="O51" s="27">
        <f t="shared" si="22"/>
        <v>1815.3854438301009</v>
      </c>
      <c r="P51" s="31">
        <v>600</v>
      </c>
      <c r="Q51" s="32">
        <v>1053</v>
      </c>
      <c r="R51" s="47" t="s">
        <v>48</v>
      </c>
      <c r="S51" s="27" t="s">
        <v>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78A3-304B-4D48-834F-DFD67CF40AF3}">
  <dimension ref="A1:K14"/>
  <sheetViews>
    <sheetView workbookViewId="0">
      <pane ySplit="1" topLeftCell="A2" activePane="bottomLeft" state="frozen"/>
      <selection pane="bottomLeft" activeCell="G13" sqref="G13"/>
    </sheetView>
  </sheetViews>
  <sheetFormatPr baseColWidth="10" defaultRowHeight="15" x14ac:dyDescent="0.25"/>
  <cols>
    <col min="5" max="5" width="19.5703125" bestFit="1" customWidth="1"/>
    <col min="6" max="6" width="15" bestFit="1" customWidth="1"/>
    <col min="7" max="7" width="25.85546875" bestFit="1" customWidth="1"/>
    <col min="8" max="8" width="25.7109375" bestFit="1" customWidth="1"/>
    <col min="9" max="9" width="15" bestFit="1" customWidth="1"/>
    <col min="10" max="10" width="14.85546875" bestFit="1" customWidth="1"/>
  </cols>
  <sheetData>
    <row r="1" spans="1:11" s="6" customFormat="1" ht="90" x14ac:dyDescent="0.25">
      <c r="A1" s="6" t="s">
        <v>0</v>
      </c>
      <c r="B1" s="6" t="s">
        <v>1</v>
      </c>
      <c r="C1" s="6" t="s">
        <v>18</v>
      </c>
      <c r="D1" s="6" t="s">
        <v>19</v>
      </c>
      <c r="E1" s="6" t="s">
        <v>21</v>
      </c>
      <c r="F1" s="6" t="s">
        <v>20</v>
      </c>
      <c r="G1" s="6" t="s">
        <v>22</v>
      </c>
      <c r="H1" s="6" t="s">
        <v>23</v>
      </c>
      <c r="I1" s="6" t="s">
        <v>32</v>
      </c>
      <c r="J1" s="6" t="s">
        <v>33</v>
      </c>
      <c r="K1" s="7" t="s">
        <v>38</v>
      </c>
    </row>
    <row r="2" spans="1:11" x14ac:dyDescent="0.25">
      <c r="A2" s="8">
        <v>46041</v>
      </c>
      <c r="B2" s="9">
        <v>0.45208333333333334</v>
      </c>
      <c r="C2" s="10">
        <v>3.75</v>
      </c>
      <c r="D2" s="10">
        <v>212</v>
      </c>
      <c r="E2" s="10">
        <v>8.75</v>
      </c>
      <c r="F2" s="10">
        <v>273</v>
      </c>
      <c r="G2" s="10">
        <f t="shared" ref="G2:H5" si="0">C2/(E2/1000)</f>
        <v>428.57142857142856</v>
      </c>
      <c r="H2" s="10">
        <f t="shared" si="0"/>
        <v>776.55677655677653</v>
      </c>
      <c r="I2" s="10">
        <v>1.67</v>
      </c>
      <c r="J2" s="11">
        <v>0</v>
      </c>
    </row>
    <row r="3" spans="1:11" x14ac:dyDescent="0.25">
      <c r="A3" s="12">
        <v>46041</v>
      </c>
      <c r="B3" s="13">
        <v>0.69513888888888886</v>
      </c>
      <c r="C3" s="14"/>
      <c r="D3" s="14">
        <v>42.3</v>
      </c>
      <c r="E3" s="14"/>
      <c r="F3" s="14">
        <v>55.47</v>
      </c>
      <c r="G3" s="14" t="e">
        <f t="shared" si="0"/>
        <v>#DIV/0!</v>
      </c>
      <c r="H3" s="14">
        <f t="shared" si="0"/>
        <v>762.5743645213629</v>
      </c>
      <c r="I3" s="14" t="s">
        <v>12</v>
      </c>
      <c r="J3" s="15">
        <v>0.7</v>
      </c>
    </row>
    <row r="4" spans="1:11" x14ac:dyDescent="0.25">
      <c r="A4" s="8">
        <v>46042</v>
      </c>
      <c r="B4" s="9">
        <v>0.40138888888888885</v>
      </c>
      <c r="C4" s="10">
        <v>0.95899999999999996</v>
      </c>
      <c r="D4" s="10">
        <v>39.9</v>
      </c>
      <c r="E4" s="10">
        <v>8.5</v>
      </c>
      <c r="F4" s="10">
        <v>53</v>
      </c>
      <c r="G4" s="10">
        <f t="shared" si="0"/>
        <v>112.8235294117647</v>
      </c>
      <c r="H4" s="10">
        <f t="shared" si="0"/>
        <v>752.83018867924523</v>
      </c>
      <c r="I4" s="10">
        <v>1.67</v>
      </c>
      <c r="J4" s="11">
        <v>0.7</v>
      </c>
    </row>
    <row r="5" spans="1:11" x14ac:dyDescent="0.25">
      <c r="A5" s="16">
        <v>46042</v>
      </c>
      <c r="B5" s="17">
        <v>0.41736111111111113</v>
      </c>
      <c r="C5" s="18">
        <v>1.51</v>
      </c>
      <c r="D5" s="18"/>
      <c r="E5" s="18">
        <v>8.51</v>
      </c>
      <c r="F5" s="18"/>
      <c r="G5" s="18">
        <f t="shared" si="0"/>
        <v>177.43830787309048</v>
      </c>
      <c r="H5" s="18" t="e">
        <f t="shared" si="0"/>
        <v>#DIV/0!</v>
      </c>
      <c r="I5" s="18">
        <v>1.67</v>
      </c>
      <c r="J5" s="19" t="s">
        <v>12</v>
      </c>
    </row>
    <row r="6" spans="1:11" x14ac:dyDescent="0.25">
      <c r="A6" s="16">
        <v>46042</v>
      </c>
      <c r="B6" s="17">
        <v>0.53263888888888888</v>
      </c>
      <c r="C6" s="18"/>
      <c r="D6" s="18">
        <v>1.7509999999999999</v>
      </c>
      <c r="E6" s="18"/>
      <c r="F6" s="18">
        <v>7.15</v>
      </c>
      <c r="G6" s="18" t="e">
        <f t="shared" ref="G6:G8" si="1">C6/(E6/1000)</f>
        <v>#DIV/0!</v>
      </c>
      <c r="H6" s="18">
        <f>D6/(F6/1000)</f>
        <v>244.89510489510488</v>
      </c>
      <c r="I6" s="18"/>
      <c r="J6" s="19"/>
    </row>
    <row r="7" spans="1:11" x14ac:dyDescent="0.25">
      <c r="A7" s="12">
        <v>46042</v>
      </c>
      <c r="B7" s="13">
        <v>0.61319444444444449</v>
      </c>
      <c r="C7" s="14"/>
      <c r="D7" s="20">
        <v>4.38</v>
      </c>
      <c r="E7" s="14"/>
      <c r="F7" s="14">
        <v>6.86</v>
      </c>
      <c r="G7" s="14"/>
      <c r="H7" s="14">
        <f>D7/(F7/1000)</f>
        <v>638.48396501457717</v>
      </c>
      <c r="I7" s="14"/>
      <c r="J7" s="15"/>
    </row>
    <row r="8" spans="1:11" x14ac:dyDescent="0.25">
      <c r="A8" s="8">
        <v>46043</v>
      </c>
      <c r="B8" s="9">
        <v>0.41319444444444442</v>
      </c>
      <c r="C8" s="21">
        <f>238*1.0188</f>
        <v>242.47439999999997</v>
      </c>
      <c r="D8" s="24">
        <f>253*0.9457</f>
        <v>239.2621</v>
      </c>
      <c r="E8" s="10">
        <v>440</v>
      </c>
      <c r="F8" s="10">
        <v>305</v>
      </c>
      <c r="G8" s="21">
        <f t="shared" si="1"/>
        <v>551.07818181818175</v>
      </c>
      <c r="H8" s="21">
        <f>D8/(F8/1000)</f>
        <v>784.46590163934434</v>
      </c>
      <c r="I8" s="10">
        <v>0</v>
      </c>
      <c r="J8" s="11">
        <v>0</v>
      </c>
    </row>
    <row r="9" spans="1:11" x14ac:dyDescent="0.25">
      <c r="A9" s="16">
        <v>46043</v>
      </c>
      <c r="B9" s="17">
        <v>0.4291666666666667</v>
      </c>
      <c r="C9" s="22">
        <f>43.8*1.0188</f>
        <v>44.623439999999995</v>
      </c>
      <c r="D9" s="25">
        <v>5.149</v>
      </c>
      <c r="E9" s="18">
        <v>81</v>
      </c>
      <c r="F9" s="18">
        <v>8.08</v>
      </c>
      <c r="G9" s="22">
        <f t="shared" ref="G9:G13" si="2">C9/(E9/1000)</f>
        <v>550.90666666666664</v>
      </c>
      <c r="H9" s="22">
        <f t="shared" ref="H9:H13" si="3">D9/(F9/1000)</f>
        <v>637.25247524752467</v>
      </c>
      <c r="I9" s="18">
        <v>0.7</v>
      </c>
      <c r="J9" s="19">
        <v>1.67</v>
      </c>
    </row>
    <row r="10" spans="1:11" x14ac:dyDescent="0.25">
      <c r="A10" s="16">
        <v>46043</v>
      </c>
      <c r="B10" s="17">
        <v>0.44444444444444442</v>
      </c>
      <c r="C10" s="22">
        <v>4.4550000000000001</v>
      </c>
      <c r="D10" s="25">
        <f>45.5*1.0188</f>
        <v>46.355399999999996</v>
      </c>
      <c r="E10" s="18">
        <v>8.7899999999999991</v>
      </c>
      <c r="F10" s="18">
        <v>56.74</v>
      </c>
      <c r="G10" s="22">
        <f t="shared" si="2"/>
        <v>506.82593856655296</v>
      </c>
      <c r="H10" s="22">
        <f t="shared" si="3"/>
        <v>816.97920338385609</v>
      </c>
      <c r="I10" s="18">
        <v>1.67</v>
      </c>
      <c r="J10" s="19">
        <v>0.7</v>
      </c>
    </row>
    <row r="11" spans="1:11" x14ac:dyDescent="0.25">
      <c r="A11" s="8">
        <v>46044</v>
      </c>
      <c r="B11" s="9">
        <v>0.39930555555555558</v>
      </c>
      <c r="C11" s="21">
        <f>98*1.0188</f>
        <v>99.842399999999998</v>
      </c>
      <c r="D11" s="24">
        <f>88*0.9457</f>
        <v>83.221599999999995</v>
      </c>
      <c r="E11" s="42">
        <v>181</v>
      </c>
      <c r="F11" s="42">
        <v>116</v>
      </c>
      <c r="G11" s="21">
        <f t="shared" si="2"/>
        <v>551.61546961325962</v>
      </c>
      <c r="H11" s="21">
        <f t="shared" si="3"/>
        <v>717.42758620689642</v>
      </c>
      <c r="I11" s="42">
        <v>0.33</v>
      </c>
      <c r="J11" s="58">
        <v>0.36</v>
      </c>
    </row>
    <row r="12" spans="1:11" x14ac:dyDescent="0.25">
      <c r="A12" s="12">
        <v>46044</v>
      </c>
      <c r="B12" s="13">
        <v>0.42083333333333334</v>
      </c>
      <c r="C12" s="23">
        <f>9.1*1.0188</f>
        <v>9.2710799999999995</v>
      </c>
      <c r="D12" s="26">
        <v>1.2529999999999999</v>
      </c>
      <c r="E12" s="20">
        <v>18.5</v>
      </c>
      <c r="F12" s="20">
        <v>2.62</v>
      </c>
      <c r="G12" s="23">
        <f t="shared" si="2"/>
        <v>501.13945945945949</v>
      </c>
      <c r="H12" s="23">
        <f t="shared" si="3"/>
        <v>478.24427480916029</v>
      </c>
      <c r="I12" s="20">
        <v>1.3</v>
      </c>
      <c r="J12" s="59">
        <v>2.13</v>
      </c>
    </row>
    <row r="13" spans="1:11" x14ac:dyDescent="0.25">
      <c r="A13" s="1">
        <v>46045</v>
      </c>
      <c r="B13" s="2">
        <v>0.41666666666666669</v>
      </c>
      <c r="C13">
        <f>98*1.0188</f>
        <v>99.842399999999998</v>
      </c>
      <c r="D13">
        <f>108*0.9457</f>
        <v>102.1356</v>
      </c>
      <c r="E13" s="27">
        <v>183</v>
      </c>
      <c r="F13" s="27">
        <v>132</v>
      </c>
      <c r="G13" s="22">
        <f t="shared" si="2"/>
        <v>545.58688524590161</v>
      </c>
      <c r="H13" s="22">
        <f t="shared" si="3"/>
        <v>773.75454545454534</v>
      </c>
      <c r="I13" s="27">
        <v>0.33</v>
      </c>
      <c r="J13" s="28">
        <v>0.33</v>
      </c>
    </row>
    <row r="14" spans="1:11" x14ac:dyDescent="0.25">
      <c r="A14" s="1">
        <v>46045</v>
      </c>
      <c r="B14" s="2">
        <v>0.44236111111111115</v>
      </c>
      <c r="F14" s="27">
        <v>13.2</v>
      </c>
      <c r="G14" s="18"/>
      <c r="H14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Calo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herausers</dc:creator>
  <cp:lastModifiedBy>herausers</cp:lastModifiedBy>
  <dcterms:created xsi:type="dcterms:W3CDTF">2015-06-05T18:19:34Z</dcterms:created>
  <dcterms:modified xsi:type="dcterms:W3CDTF">2026-01-23T11:25:11Z</dcterms:modified>
</cp:coreProperties>
</file>